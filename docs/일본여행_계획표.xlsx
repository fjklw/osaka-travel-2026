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여행 개요" sheetId="1" state="visible" r:id="rId1"/>
    <sheet name="준비 체크리스트" sheetId="2" state="visible" r:id="rId2"/>
    <sheet name="예산 정리" sheetId="3" state="visible" r:id="rId3"/>
    <sheet name="항공편" sheetId="4" state="visible" r:id="rId4"/>
    <sheet name="숙소" sheetId="5" state="visible" r:id="rId5"/>
    <sheet name="요일별 일정" sheetId="6" state="visible" r:id="rId6"/>
    <sheet name="교통수단" sheetId="7" state="visible" r:id="rId7"/>
    <sheet name="교통패스 비교·추천" sheetId="8" state="visible" r:id="rId8"/>
    <sheet name="맛집 리스트" sheetId="9" state="visible" r:id="rId9"/>
    <sheet name="액티비티·명소" sheetId="10" state="visible" r:id="rId10"/>
    <sheet name="체험 후보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&quot;원&quot;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8"/>
    </font>
    <font>
      <name val="Noto Sans CJK SC"/>
      <family val="2"/>
      <b val="1"/>
      <color rgb="FF1F3864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C00000"/>
      <sz val="10"/>
    </font>
    <font>
      <name val="Noto Sans CJK SC"/>
      <family val="2"/>
      <i val="1"/>
      <color rgb="FF808080"/>
      <sz val="9"/>
    </font>
    <font>
      <name val="맑은 고딕"/>
      <charset val="1"/>
      <family val="0"/>
      <i val="1"/>
      <color rgb="FF808080"/>
      <sz val="9"/>
    </font>
    <font>
      <name val="맑은 고딕"/>
      <charset val="1"/>
      <family val="0"/>
      <b val="1"/>
      <color rgb="FF1F3864"/>
      <sz val="10"/>
    </font>
    <font>
      <name val="맑은 고딕"/>
      <charset val="1"/>
      <family val="0"/>
      <b val="1"/>
      <color rgb="FFFFFFFF"/>
      <sz val="18"/>
    </font>
    <font>
      <name val="Noto Sans CJK SC"/>
      <family val="2"/>
      <b val="1"/>
      <color rgb="FFC00000"/>
      <sz val="11"/>
    </font>
    <font>
      <name val="맑은 고딕"/>
      <charset val="1"/>
      <family val="0"/>
      <b val="1"/>
      <color rgb="FFC00000"/>
      <sz val="11"/>
    </font>
    <font>
      <name val="Noto Sans CJK SC"/>
      <b val="1"/>
      <color rgb="FF1F3864"/>
      <sz val="11"/>
    </font>
    <font>
      <name val="Noto Sans CJK SC"/>
      <color rgb="FF000000"/>
      <sz val="10"/>
    </font>
    <font>
      <name val="맑은 고딕"/>
      <b val="1"/>
      <color rgb="FF1F3864"/>
      <sz val="10"/>
    </font>
    <font>
      <name val="맑은 고딕"/>
      <b val="1"/>
      <color rgb="FFFFFFFF"/>
      <sz val="18"/>
    </font>
    <font>
      <name val="맑은 고딕"/>
      <b val="1"/>
      <sz val="10"/>
    </font>
    <font>
      <name val="맑은 고딕"/>
      <color rgb="FF595959"/>
      <sz val="9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color rgb="FFFFFFFF"/>
      <sz val="11"/>
    </font>
    <font>
      <name val="맑은 고딕"/>
      <b val="1"/>
      <color rgb="FF1F3864"/>
      <sz val="12"/>
    </font>
    <font>
      <name val="맑은 고딕"/>
      <b val="1"/>
      <color rgb="FF1F3864"/>
      <sz val="11"/>
    </font>
    <font>
      <name val="맑은 고딕"/>
      <b val="1"/>
      <color rgb="FF000000"/>
      <sz val="9"/>
    </font>
    <font>
      <name val="맑은 고딕"/>
      <color rgb="FF000000"/>
      <sz val="10"/>
    </font>
    <font>
      <name val="맑은 고딕"/>
      <color rgb="FF000000"/>
      <sz val="9"/>
    </font>
    <font>
      <name val="맑은 고딕"/>
      <b val="1"/>
      <color rgb="FF000000"/>
      <sz val="11"/>
    </font>
    <font>
      <name val="맑은 고딕"/>
      <b val="1"/>
      <color rgb="FF000000"/>
      <sz val="10"/>
    </font>
    <font>
      <name val="맑은 고딕"/>
      <b val="1"/>
      <color rgb="FF000000"/>
      <sz val="12"/>
    </font>
    <font>
      <name val="맑은 고딕"/>
      <b val="1"/>
      <color rgb="FF0563C1"/>
      <sz val="10"/>
      <u val="single"/>
    </font>
    <font>
      <name val="맑은 고딕"/>
      <color rgb="FF0563C1"/>
      <sz val="10"/>
      <u val="single"/>
    </font>
    <font>
      <name val="맑은 고딕"/>
      <color rgb="FF0563C1"/>
      <sz val="9"/>
      <u val="single"/>
    </font>
    <font>
      <name val="맑은 고딕"/>
      <color rgb="FF2E7D32"/>
      <sz val="12"/>
    </font>
    <font>
      <name val="맑은 고딕"/>
      <color rgb="FF2E7D32"/>
      <sz val="10"/>
    </font>
    <font>
      <name val="맑은 고딕"/>
      <color rgb="FF000000"/>
      <sz val="12"/>
    </font>
  </fonts>
  <fills count="1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6FC"/>
      </patternFill>
    </fill>
    <fill>
      <patternFill patternType="solid">
        <fgColor rgb="FFFFF2CC"/>
        <bgColor rgb="FFF2F6FC"/>
      </patternFill>
    </fill>
    <fill>
      <patternFill patternType="solid">
        <fgColor rgb="FFFFFFFF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7" fillId="5" borderId="3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3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right" vertical="center" indent="1"/>
    </xf>
    <xf numFmtId="3" fontId="10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left" vertical="center" wrapText="1" indent="1"/>
    </xf>
    <xf numFmtId="3" fontId="7" fillId="0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7" fillId="4" borderId="2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7" fillId="5" borderId="3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8" pivotButton="0" quotePrefix="0" xfId="0"/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3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right" vertical="center" indent="1"/>
    </xf>
    <xf numFmtId="3" fontId="10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7" fillId="8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left" vertical="center" wrapText="1" indent="1"/>
    </xf>
    <xf numFmtId="3" fontId="7" fillId="0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19" fillId="0" borderId="1" applyAlignment="1" pivotButton="0" quotePrefix="0" xfId="0">
      <alignment horizontal="left" vertical="center" wrapText="1" indent="1"/>
    </xf>
    <xf numFmtId="0" fontId="18" fillId="6" borderId="1" applyAlignment="1" pivotButton="0" quotePrefix="0" xfId="0">
      <alignment horizontal="left" vertical="center" wrapText="1" indent="1"/>
    </xf>
    <xf numFmtId="0" fontId="18" fillId="0" borderId="1" applyAlignment="1" pivotButton="0" quotePrefix="0" xfId="0">
      <alignment horizontal="left" vertical="center" wrapText="1" indent="1"/>
    </xf>
    <xf numFmtId="0" fontId="19" fillId="6" borderId="1" applyAlignment="1" pivotButton="0" quotePrefix="0" xfId="0">
      <alignment horizontal="left" vertical="center" wrapText="1" indent="1"/>
    </xf>
    <xf numFmtId="0" fontId="20" fillId="9" borderId="0" applyAlignment="1" pivotButton="0" quotePrefix="0" xfId="0">
      <alignment horizontal="left" vertical="center"/>
    </xf>
    <xf numFmtId="0" fontId="21" fillId="8" borderId="9" applyAlignment="1" pivotButton="0" quotePrefix="0" xfId="0">
      <alignment horizontal="center" vertical="center"/>
    </xf>
    <xf numFmtId="164" fontId="21" fillId="10" borderId="9" applyAlignment="1" pivotButton="0" quotePrefix="0" xfId="0">
      <alignment horizontal="center" vertical="center"/>
    </xf>
    <xf numFmtId="0" fontId="22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23" fillId="9" borderId="9" applyAlignment="1" pivotButton="0" quotePrefix="0" xfId="0">
      <alignment horizontal="center" vertical="center"/>
    </xf>
    <xf numFmtId="0" fontId="21" fillId="11" borderId="9" applyAlignment="1" pivotButton="0" quotePrefix="0" xfId="0">
      <alignment horizontal="left" vertical="center"/>
    </xf>
    <xf numFmtId="0" fontId="24" fillId="11" borderId="9" applyAlignment="1" pivotButton="0" quotePrefix="0" xfId="0">
      <alignment horizontal="center" vertical="center"/>
    </xf>
    <xf numFmtId="3" fontId="24" fillId="11" borderId="9" applyAlignment="1" pivotButton="0" quotePrefix="0" xfId="0">
      <alignment horizontal="right" vertical="center"/>
    </xf>
    <xf numFmtId="0" fontId="22" fillId="11" borderId="9" applyAlignment="1" pivotButton="0" quotePrefix="0" xfId="0">
      <alignment horizontal="left" vertical="center"/>
    </xf>
    <xf numFmtId="0" fontId="21" fillId="12" borderId="9" applyAlignment="1" pivotButton="0" quotePrefix="0" xfId="0">
      <alignment horizontal="left" vertical="center"/>
    </xf>
    <xf numFmtId="0" fontId="24" fillId="12" borderId="9" applyAlignment="1" pivotButton="0" quotePrefix="0" xfId="0">
      <alignment horizontal="center" vertical="center"/>
    </xf>
    <xf numFmtId="3" fontId="24" fillId="12" borderId="9" applyAlignment="1" pivotButton="0" quotePrefix="0" xfId="0">
      <alignment horizontal="right" vertical="center"/>
    </xf>
    <xf numFmtId="0" fontId="22" fillId="12" borderId="9" applyAlignment="1" pivotButton="0" quotePrefix="0" xfId="0">
      <alignment horizontal="left" vertical="center"/>
    </xf>
    <xf numFmtId="0" fontId="25" fillId="9" borderId="9" applyAlignment="1" pivotButton="0" quotePrefix="0" xfId="0">
      <alignment horizontal="center" vertical="center"/>
    </xf>
    <xf numFmtId="3" fontId="26" fillId="10" borderId="9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wrapText="1"/>
    </xf>
    <xf numFmtId="0" fontId="23" fillId="9" borderId="9" applyAlignment="1" pivotButton="0" quotePrefix="0" xfId="0">
      <alignment horizontal="center" vertical="center" wrapText="1"/>
    </xf>
    <xf numFmtId="0" fontId="27" fillId="8" borderId="9" applyAlignment="1" pivotButton="0" quotePrefix="0" xfId="0">
      <alignment horizontal="left" vertical="center"/>
    </xf>
    <xf numFmtId="0" fontId="28" fillId="11" borderId="9" applyAlignment="1" pivotButton="0" quotePrefix="0" xfId="0">
      <alignment horizontal="center" vertical="center" wrapText="1"/>
    </xf>
    <xf numFmtId="0" fontId="29" fillId="11" borderId="9" applyAlignment="1" pivotButton="0" quotePrefix="0" xfId="0">
      <alignment horizontal="left" vertical="center" wrapText="1"/>
    </xf>
    <xf numFmtId="0" fontId="30" fillId="11" borderId="9" applyAlignment="1" pivotButton="0" quotePrefix="0" xfId="0">
      <alignment horizontal="left" vertical="center" wrapText="1"/>
    </xf>
    <xf numFmtId="0" fontId="31" fillId="11" borderId="9" applyAlignment="1" pivotButton="0" quotePrefix="0" xfId="0">
      <alignment horizontal="center" vertical="center"/>
    </xf>
    <xf numFmtId="0" fontId="22" fillId="11" borderId="9" applyAlignment="1" pivotButton="0" quotePrefix="0" xfId="0">
      <alignment horizontal="left" vertical="center" wrapText="1"/>
    </xf>
    <xf numFmtId="0" fontId="28" fillId="12" borderId="9" applyAlignment="1" pivotButton="0" quotePrefix="0" xfId="0">
      <alignment horizontal="center" vertical="center" wrapText="1"/>
    </xf>
    <xf numFmtId="0" fontId="29" fillId="12" borderId="9" applyAlignment="1" pivotButton="0" quotePrefix="0" xfId="0">
      <alignment horizontal="left" vertical="center" wrapText="1"/>
    </xf>
    <xf numFmtId="0" fontId="30" fillId="12" borderId="9" applyAlignment="1" pivotButton="0" quotePrefix="0" xfId="0">
      <alignment horizontal="left" vertical="center" wrapText="1"/>
    </xf>
    <xf numFmtId="0" fontId="31" fillId="12" borderId="9" applyAlignment="1" pivotButton="0" quotePrefix="0" xfId="0">
      <alignment horizontal="center" vertical="center"/>
    </xf>
    <xf numFmtId="0" fontId="22" fillId="12" borderId="9" applyAlignment="1" pivotButton="0" quotePrefix="0" xfId="0">
      <alignment horizontal="left" vertical="center" wrapText="1"/>
    </xf>
    <xf numFmtId="0" fontId="30" fillId="11" borderId="9" applyAlignment="1" pivotButton="0" quotePrefix="0" xfId="0">
      <alignment horizontal="center" vertical="center" wrapText="1"/>
    </xf>
    <xf numFmtId="0" fontId="32" fillId="11" borderId="9" applyAlignment="1" pivotButton="0" quotePrefix="0" xfId="0">
      <alignment horizontal="left" vertical="center" wrapText="1"/>
    </xf>
    <xf numFmtId="0" fontId="30" fillId="12" borderId="9" applyAlignment="1" pivotButton="0" quotePrefix="0" xfId="0">
      <alignment horizontal="center" vertical="center" wrapText="1"/>
    </xf>
    <xf numFmtId="0" fontId="32" fillId="12" borderId="9" applyAlignment="1" pivotButton="0" quotePrefix="0" xfId="0">
      <alignment horizontal="left" vertical="center" wrapText="1"/>
    </xf>
    <xf numFmtId="0" fontId="28" fillId="11" borderId="9" applyAlignment="1" pivotButton="0" quotePrefix="0" xfId="0">
      <alignment horizontal="left" vertical="center" wrapText="1"/>
    </xf>
    <xf numFmtId="0" fontId="30" fillId="11" borderId="9" applyAlignment="1" pivotButton="0" quotePrefix="0" xfId="0">
      <alignment horizontal="center" vertical="center"/>
    </xf>
    <xf numFmtId="0" fontId="0" fillId="11" borderId="9" applyAlignment="1" pivotButton="0" quotePrefix="0" xfId="0">
      <alignment horizontal="left" vertical="center" wrapText="1"/>
    </xf>
    <xf numFmtId="0" fontId="28" fillId="12" borderId="9" applyAlignment="1" pivotButton="0" quotePrefix="0" xfId="0">
      <alignment horizontal="left" vertical="center" wrapText="1"/>
    </xf>
    <xf numFmtId="0" fontId="30" fillId="12" borderId="9" applyAlignment="1" pivotButton="0" quotePrefix="0" xfId="0">
      <alignment horizontal="center" vertical="center"/>
    </xf>
    <xf numFmtId="0" fontId="0" fillId="12" borderId="9" applyAlignment="1" pivotButton="0" quotePrefix="0" xfId="0">
      <alignment horizontal="left" vertical="center" wrapText="1"/>
    </xf>
    <xf numFmtId="0" fontId="0" fillId="11" borderId="9" applyAlignment="1" pivotButton="0" quotePrefix="0" xfId="0">
      <alignment horizontal="center" vertical="center"/>
    </xf>
    <xf numFmtId="0" fontId="0" fillId="12" borderId="9" applyAlignment="1" pivotButton="0" quotePrefix="0" xfId="0">
      <alignment horizontal="center" vertical="center"/>
    </xf>
    <xf numFmtId="0" fontId="27" fillId="10" borderId="9" applyAlignment="1" pivotButton="0" quotePrefix="0" xfId="0">
      <alignment horizontal="center" vertical="center"/>
    </xf>
    <xf numFmtId="0" fontId="33" fillId="11" borderId="9" applyAlignment="1" pivotButton="0" quotePrefix="0" xfId="0">
      <alignment horizontal="center" vertical="center"/>
    </xf>
    <xf numFmtId="0" fontId="33" fillId="12" borderId="9" applyAlignment="1" pivotButton="0" quotePrefix="0" xfId="0">
      <alignment horizontal="center" vertical="center"/>
    </xf>
    <xf numFmtId="0" fontId="29" fillId="11" borderId="9" applyAlignment="1" pivotButton="0" quotePrefix="0" xfId="0">
      <alignment horizontal="center" vertical="center"/>
    </xf>
    <xf numFmtId="3" fontId="29" fillId="11" borderId="9" applyAlignment="1" pivotButton="0" quotePrefix="0" xfId="0">
      <alignment horizontal="right" vertical="center"/>
    </xf>
    <xf numFmtId="0" fontId="29" fillId="12" borderId="9" applyAlignment="1" pivotButton="0" quotePrefix="0" xfId="0">
      <alignment horizontal="center" vertical="center"/>
    </xf>
    <xf numFmtId="3" fontId="29" fillId="12" borderId="9" applyAlignment="1" pivotButton="0" quotePrefix="0" xfId="0">
      <alignment horizontal="right" vertical="center"/>
    </xf>
    <xf numFmtId="0" fontId="35" fillId="0" borderId="1" applyAlignment="1" pivotButton="0" quotePrefix="0" xfId="0">
      <alignment horizontal="left" vertical="center" wrapText="1" indent="1"/>
    </xf>
    <xf numFmtId="0" fontId="34" fillId="11" borderId="9" applyAlignment="1" pivotButton="0" quotePrefix="0" xfId="0">
      <alignment horizontal="left" vertical="center" wrapText="1"/>
    </xf>
    <xf numFmtId="0" fontId="34" fillId="12" borderId="9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35" fillId="11" borderId="9" applyAlignment="1" pivotButton="0" quotePrefix="0" xfId="0">
      <alignment horizontal="left" vertical="center" wrapText="1"/>
    </xf>
    <xf numFmtId="0" fontId="35" fillId="12" borderId="9" applyAlignment="1" pivotButton="0" quotePrefix="0" xfId="0">
      <alignment horizontal="left" vertical="center" wrapText="1"/>
    </xf>
    <xf numFmtId="0" fontId="29" fillId="11" borderId="9" applyAlignment="1" pivotButton="0" quotePrefix="0" xfId="0">
      <alignment horizontal="center" vertical="center" wrapText="1"/>
    </xf>
    <xf numFmtId="0" fontId="29" fillId="12" borderId="9" applyAlignment="1" pivotButton="0" quotePrefix="0" xfId="0">
      <alignment horizontal="center" vertical="center" wrapText="1"/>
    </xf>
    <xf numFmtId="3" fontId="27" fillId="10" borderId="9" applyAlignment="1" pivotButton="0" quotePrefix="0" xfId="0">
      <alignment horizontal="right" vertical="center"/>
    </xf>
    <xf numFmtId="0" fontId="22" fillId="0" borderId="9" applyAlignment="1" pivotButton="0" quotePrefix="0" xfId="0">
      <alignment horizontal="left" vertical="center" wrapText="1"/>
    </xf>
    <xf numFmtId="0" fontId="29" fillId="0" borderId="9" applyAlignment="1" pivotButton="0" quotePrefix="0" xfId="0">
      <alignment horizontal="left" vertical="center"/>
    </xf>
    <xf numFmtId="0" fontId="32" fillId="0" borderId="9" applyAlignment="1" pivotButton="0" quotePrefix="0" xfId="0">
      <alignment horizontal="right" vertical="center"/>
    </xf>
    <xf numFmtId="0" fontId="25" fillId="9" borderId="9" applyAlignment="1" pivotButton="0" quotePrefix="0" xfId="0">
      <alignment horizontal="left" vertical="center"/>
    </xf>
    <xf numFmtId="0" fontId="26" fillId="10" borderId="9" applyAlignment="1" pivotButton="0" quotePrefix="0" xfId="0">
      <alignment horizontal="right" vertical="center"/>
    </xf>
    <xf numFmtId="165" fontId="6" fillId="4" borderId="2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/>
    </xf>
    <xf numFmtId="0" fontId="37" fillId="0" borderId="9" applyAlignment="1" pivotButton="0" quotePrefix="0" xfId="0">
      <alignment horizontal="center" vertical="center"/>
    </xf>
    <xf numFmtId="0" fontId="38" fillId="0" borderId="9" applyAlignment="1" pivotButton="0" quotePrefix="0" xfId="0">
      <alignment horizontal="left" vertical="center" wrapText="1"/>
    </xf>
    <xf numFmtId="0" fontId="39" fillId="11" borderId="9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 vertical="center"/>
    </xf>
    <xf numFmtId="0" fontId="29" fillId="0" borderId="9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www.twayair.com/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japan-guide.com/e/e2359_icoca_haruka.html" TargetMode="External" Id="rId1" /><Relationship Type="http://schemas.openxmlformats.org/officeDocument/2006/relationships/hyperlink" Target="https://www.surutto.com/kansai_rwpl/en/krp.html" TargetMode="External" Id="rId2" /><Relationship Type="http://schemas.openxmlformats.org/officeDocument/2006/relationships/hyperlink" Target="https://osaka-amazing-pass.com/en/index.html" TargetMode="External" Id="rId3" /><Relationship Type="http://schemas.openxmlformats.org/officeDocument/2006/relationships/hyperlink" Target="https://osaka-amazing-pass.com/en/index.html" TargetMode="External" Id="rId4" /><Relationship Type="http://schemas.openxmlformats.org/officeDocument/2006/relationships/hyperlink" Target="https://www.westjr.co.jp/travel-information/en/tickets-passes/jrwest-rail-pass/kansai/" TargetMode="External" Id="rId5" /><Relationship Type="http://schemas.openxmlformats.org/officeDocument/2006/relationships/hyperlink" Target="https://www.westjr.co.jp/travel-information/en/tickets-passes/jrwest-rail-pass/kansai_wide/" TargetMode="External" Id="rId6" /><Relationship Type="http://schemas.openxmlformats.org/officeDocument/2006/relationships/hyperlink" Target="https://www.hankyu.co.jp/en/ticket/otoku/013812.html" TargetMode="External" Id="rId7" /><Relationship Type="http://schemas.openxmlformats.org/officeDocument/2006/relationships/hyperlink" Target="https://osaka-info.jp/en/discover-kansai/hanshin-tourist-pass/" TargetMode="External" Id="rId8" /><Relationship Type="http://schemas.openxmlformats.org/officeDocument/2006/relationships/hyperlink" Target="https://www.kintetsu.co.jp/foreign/english/ticket/" TargetMode="External" Id="rId9" /><Relationship Type="http://schemas.openxmlformats.org/officeDocument/2006/relationships/hyperlink" Target="https://www.city.kyoto.lg.jp/kotsu/page/0000028378.html" TargetMode="External" Id="rId10" /><Relationship Type="http://schemas.openxmlformats.org/officeDocument/2006/relationships/hyperlink" Target="https://www.keihan.co.jp/travel/en/trains/passes-for-visitors-to-japan/kyoto-osaka.html" TargetMode="External" Id="rId11" /><Relationship Type="http://schemas.openxmlformats.org/officeDocument/2006/relationships/hyperlink" Target="https://metronine.osaka/en/ticket/ticket-d02/" TargetMode="External" Id="rId12" /><Relationship Type="http://schemas.openxmlformats.org/officeDocument/2006/relationships/hyperlink" Target="https://subway.osakametro.co.jp/en/guide/page/enjoy-eco.php" TargetMode="External" Id="rId13" /><Relationship Type="http://schemas.openxmlformats.org/officeDocument/2006/relationships/hyperlink" Target="https://www.fun-japan.jp/en/articles/14410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https://dotonbori-kukuru.com/dotonbori-honten/" TargetMode="External" Id="rId1" /><Relationship Type="http://schemas.openxmlformats.org/officeDocument/2006/relationships/hyperlink" Target="https://www.doutonbori-akaoni.com/" TargetMode="External" Id="rId2" /><Relationship Type="http://schemas.openxmlformats.org/officeDocument/2006/relationships/hyperlink" Target="http://takoyaki-wanaka.com/" TargetMode="External" Id="rId3" /><Relationship Type="http://schemas.openxmlformats.org/officeDocument/2006/relationships/hyperlink" Target="https://kougaryu.jp/" TargetMode="External" Id="rId4" /><Relationship Type="http://schemas.openxmlformats.org/officeDocument/2006/relationships/hyperlink" Target="http://www.mizuno-osaka.com/" TargetMode="External" Id="rId5" /><Relationship Type="http://schemas.openxmlformats.org/officeDocument/2006/relationships/hyperlink" Target="https://shinume.com/" TargetMode="External" Id="rId6" /><Relationship Type="http://schemas.openxmlformats.org/officeDocument/2006/relationships/hyperlink" Target="https://www.kushikatu-daruma.com/location/shinsekai" TargetMode="External" Id="rId7" /><Relationship Type="http://schemas.openxmlformats.org/officeDocument/2006/relationships/hyperlink" Target="https://kinryuramen.com/" TargetMode="External" Id="rId8" /><Relationship Type="http://schemas.openxmlformats.org/officeDocument/2006/relationships/hyperlink" Target="https://kamukura.co.jp/" TargetMode="External" Id="rId9" /><Relationship Type="http://schemas.openxmlformats.org/officeDocument/2006/relationships/hyperlink" Target="https://en.ichiran.com/shop/kinki/dotonbori-south/" TargetMode="External" Id="rId10" /><Relationship Type="http://schemas.openxmlformats.org/officeDocument/2006/relationships/hyperlink" Target="https://www.jiyuken.co.jp/" TargetMode="External" Id="rId11" /><Relationship Type="http://schemas.openxmlformats.org/officeDocument/2006/relationships/hyperlink" Target="https://www.indiancurry.jp/minami/" TargetMode="External" Id="rId12" /><Relationship Type="http://schemas.openxmlformats.org/officeDocument/2006/relationships/hyperlink" Target="https://www.d-imai.com/" TargetMode="External" Id="rId13" /><Relationship Type="http://schemas.openxmlformats.org/officeDocument/2006/relationships/hyperlink" Target="https://douraku.co.jp/" TargetMode="External" Id="rId14" /><Relationship Type="http://schemas.openxmlformats.org/officeDocument/2006/relationships/hyperlink" Target="https://www.honke-daiichiasahi.com/shop.html" TargetMode="External" Id="rId15" /><Relationship Type="http://schemas.openxmlformats.org/officeDocument/2006/relationships/hyperlink" Target="https://www.tenkaippin.co.jp/shop/728/" TargetMode="External" Id="rId16" /><Relationship Type="http://schemas.openxmlformats.org/officeDocument/2006/relationships/hyperlink" Target="https://www.hotpepper.jp/strJ000439832/" TargetMode="External" Id="rId17" /><Relationship Type="http://schemas.openxmlformats.org/officeDocument/2006/relationships/hyperlink" Target="https://www.nisiki-kai.com/" TargetMode="External" Id="rId18" /><Relationship Type="http://schemas.openxmlformats.org/officeDocument/2006/relationships/hyperlink" Target="https://www.kyoto-nishiki.or.jp/" TargetMode="External" Id="rId19" /><Relationship Type="http://schemas.openxmlformats.org/officeDocument/2006/relationships/hyperlink" Target="https://www.kyotofu.co.jp/shoplist/monjya" TargetMode="External" Id="rId20" /><Relationship Type="http://schemas.openxmlformats.org/officeDocument/2006/relationships/hyperlink" Target="https://honke-owariya.co.jp/menu/" TargetMode="External" Id="rId21" /><Relationship Type="http://schemas.openxmlformats.org/officeDocument/2006/relationships/hyperlink" Target="https://www.kyoya-kiyomizu.com/kiyokiyo/" TargetMode="External" Id="rId22" /><Relationship Type="http://schemas.openxmlformats.org/officeDocument/2006/relationships/hyperlink" Target="https://suishinhonten.gorp.jp/" TargetMode="External" Id="rId23" /><Relationship Type="http://schemas.openxmlformats.org/officeDocument/2006/relationships/hyperlink" Target="https://kyoto-sagano.jp/" TargetMode="External" Id="rId24" /><Relationship Type="http://schemas.openxmlformats.org/officeDocument/2006/relationships/hyperlink" Target="https://arashiyama-gyatei.com/" TargetMode="External" Id="rId25" /><Relationship Type="http://schemas.openxmlformats.org/officeDocument/2006/relationships/hyperlink" Target="https://arabica.coffee/" TargetMode="External" Id="rId26" /><Relationship Type="http://schemas.openxmlformats.org/officeDocument/2006/relationships/hyperlink" Target="https://www.giontsujiri.co.jp/store/saryotsujiri-honten/" TargetMode="External" Id="rId27" /><Relationship Type="http://schemas.openxmlformats.org/officeDocument/2006/relationships/hyperlink" Target="https://hiraso.jp/shop/shop-nara/" TargetMode="External" Id="rId28" /><Relationship Type="http://schemas.openxmlformats.org/officeDocument/2006/relationships/hyperlink" Target="https://nakatanidou.jp/" TargetMode="External" Id="rId29" /><Relationship Type="http://schemas.openxmlformats.org/officeDocument/2006/relationships/hyperlink" Target="https://www.kudzu.co.jp/" TargetMode="External" Id="rId30" /><Relationship Type="http://schemas.openxmlformats.org/officeDocument/2006/relationships/hyperlink" Target="https://surusuru.shop-pro.jp/" TargetMode="External" Id="rId31" /><Relationship Type="http://schemas.openxmlformats.org/officeDocument/2006/relationships/hyperlink" Target="https://kamameshi-shizuka.jp/free/kouen" TargetMode="External" Id="rId32" /><Relationship Type="http://schemas.openxmlformats.org/officeDocument/2006/relationships/hyperlink" Target="https://www.izasa.co.jp/shop/todaiji-new/" TargetMode="External" Id="rId33" /><Relationship Type="http://schemas.openxmlformats.org/officeDocument/2006/relationships/hyperlink" Target="https://www.mouriya.co.jp/en/sannomiya" TargetMode="External" Id="rId34" /><Relationship Type="http://schemas.openxmlformats.org/officeDocument/2006/relationships/hyperlink" Target="https://kobe-plaisir.jp/english/" TargetMode="External" Id="rId35" /><Relationship Type="http://schemas.openxmlformats.org/officeDocument/2006/relationships/hyperlink" Target="https://www.tablecheck.com/en/wakkoqu-shinkobe" TargetMode="External" Id="rId36" /><Relationship Type="http://schemas.openxmlformats.org/officeDocument/2006/relationships/hyperlink" Target="https://www.koubegyuu.com/kisshokichi-sannomiya/" TargetMode="External" Id="rId37" /><Relationship Type="http://schemas.openxmlformats.org/officeDocument/2006/relationships/hyperlink" Target="https://roushouki.com/" TargetMode="External" Id="rId3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usj.co.jp/web/en/us" TargetMode="External" Id="rId1" /><Relationship Type="http://schemas.openxmlformats.org/officeDocument/2006/relationships/hyperlink" Target="https://www.kaiyukan.com/" TargetMode="External" Id="rId2" /><Relationship Type="http://schemas.openxmlformats.org/officeDocument/2006/relationships/hyperlink" Target="https://osaka-info.jp/en/spot/tempozan-ferris-wheel/" TargetMode="External" Id="rId3" /><Relationship Type="http://schemas.openxmlformats.org/officeDocument/2006/relationships/hyperlink" Target="https://www.skybldg.co.jp/observatory/" TargetMode="External" Id="rId4" /><Relationship Type="http://schemas.openxmlformats.org/officeDocument/2006/relationships/hyperlink" Target="https://www.hepfive.jp/ferriswheel" TargetMode="External" Id="rId5" /><Relationship Type="http://schemas.openxmlformats.org/officeDocument/2006/relationships/hyperlink" Target="https://railway-toku.jp/en/nintendo-osaka-daimaru/" TargetMode="External" Id="rId6" /><Relationship Type="http://schemas.openxmlformats.org/officeDocument/2006/relationships/hyperlink" Target="https://shop.pokemon.co.jp/en/shop/pokemoncenter-osaka/" TargetMode="External" Id="rId7" /><Relationship Type="http://schemas.openxmlformats.org/officeDocument/2006/relationships/hyperlink" Target="https://shop.pokemon.co.jp/en/shop/pokemoncenter-osakadx/" TargetMode="External" Id="rId8" /><Relationship Type="http://schemas.openxmlformats.org/officeDocument/2006/relationships/hyperlink" Target="https://osaka-info.jp/en/spot/yodobashi-umeda/" TargetMode="External" Id="rId9" /><Relationship Type="http://schemas.openxmlformats.org/officeDocument/2006/relationships/hyperlink" Target="https://osaka-info.jp/en/spot/nippombashi-denden-town/" TargetMode="External" Id="rId10" /><Relationship Type="http://schemas.openxmlformats.org/officeDocument/2006/relationships/hyperlink" Target="https://www.animate.co.jp/en/shop/nipponbashi/" TargetMode="External" Id="rId11" /><Relationship Type="http://schemas.openxmlformats.org/officeDocument/2006/relationships/hyperlink" Target="https://www.mandarake.co.jp/dir/gcs/index-en.html" TargetMode="External" Id="rId12" /><Relationship Type="http://schemas.openxmlformats.org/officeDocument/2006/relationships/hyperlink" Target="https://osaka-info.jp/en/spot/dotonbori/" TargetMode="External" Id="rId13" /><Relationship Type="http://schemas.openxmlformats.org/officeDocument/2006/relationships/hyperlink" Target="https://www.donki.com/kanransha/index_en.php" TargetMode="External" Id="rId14" /><Relationship Type="http://schemas.openxmlformats.org/officeDocument/2006/relationships/hyperlink" Target="https://www.gigo.co.jp/en/shops/dotonbori" TargetMode="External" Id="rId15" /><Relationship Type="http://schemas.openxmlformats.org/officeDocument/2006/relationships/hyperlink" Target="https://www.tsutenkaku.co.jp/annai/index.html" TargetMode="External" Id="rId16" /><Relationship Type="http://schemas.openxmlformats.org/officeDocument/2006/relationships/hyperlink" Target="https://livejapan.com/en/in-kansai/in-pref-osaka/in-namba_dotonbori_shinsaibashi/article-a2000288/" TargetMode="External" Id="rId17" /><Relationship Type="http://schemas.openxmlformats.org/officeDocument/2006/relationships/hyperlink" Target="https://fushimi-inari.com/" TargetMode="External" Id="rId18" /><Relationship Type="http://schemas.openxmlformats.org/officeDocument/2006/relationships/hyperlink" Target="https://www.japan-guide.com/e/e3912.html" TargetMode="External" Id="rId19" /><Relationship Type="http://schemas.openxmlformats.org/officeDocument/2006/relationships/hyperlink" Target="https://www.kiyomizudera.or.jp/en/" TargetMode="External" Id="rId20" /><Relationship Type="http://schemas.openxmlformats.org/officeDocument/2006/relationships/hyperlink" Target="https://www.animate.co.jp/en/shop/avanti_kyoto/" TargetMode="External" Id="rId21" /><Relationship Type="http://schemas.openxmlformats.org/officeDocument/2006/relationships/hyperlink" Target="https://narashikanko.or.jp/en/feature/deer" TargetMode="External" Id="rId22" /><Relationship Type="http://schemas.openxmlformats.org/officeDocument/2006/relationships/hyperlink" Target="https://www.todaiji.or.jp/en/information/haikan/" TargetMode="External" Id="rId23" /><Relationship Type="http://schemas.openxmlformats.org/officeDocument/2006/relationships/hyperlink" Target="https://www.ijinkan.net/ticket" TargetMode="External" Id="rId24" /><Relationship Type="http://schemas.openxmlformats.org/officeDocument/2006/relationships/hyperlink" Target="https://www.feel-kobe.jp/en/attractions/detail_1012.html" TargetMode="External" Id="rId25" /><Relationship Type="http://schemas.openxmlformats.org/officeDocument/2006/relationships/hyperlink" Target="https://umie.jp/features/mosaickanransya" TargetMode="External" Id="rId26" /><Relationship Type="http://schemas.openxmlformats.org/officeDocument/2006/relationships/hyperlink" Target="https://www.kobe-port-tower.com/en/ticket/" TargetMode="External" Id="rId27" /><Relationship Type="http://schemas.openxmlformats.org/officeDocument/2006/relationships/hyperlink" Target="https://www.animate.co.jp/en/shop/sannomiya/" TargetMode="External" Id="rId28" /></Relationships>
</file>

<file path=xl/worksheets/_rels/sheet11.xml.rels><Relationships xmlns="http://schemas.openxmlformats.org/package/2006/relationships"><Relationship Type="http://schemas.openxmlformats.org/officeDocument/2006/relationships/hyperlink" Target="https://en.activityjapan.com/publish/plan/851" TargetMode="External" Id="rId1" /><Relationship Type="http://schemas.openxmlformats.org/officeDocument/2006/relationships/hyperlink" Target="https://www.kkday.com/ko/product/560390" TargetMode="External" Id="rId2" /><Relationship Type="http://schemas.openxmlformats.org/officeDocument/2006/relationships/hyperlink" Target="https://www.isejingu.or.jp/en/about/index.html" TargetMode="External" Id="rId3" /><Relationship Type="http://schemas.openxmlformats.org/officeDocument/2006/relationships/hyperlink" Target="https://futamiokitamajinja.or.jp/meguru/meotoiwa/" TargetMode="External" Id="rId4" /><Relationship Type="http://schemas.openxmlformats.org/officeDocument/2006/relationships/hyperlink" Target="https://www.kkday.com/ko/product/159878" TargetMode="External" Id="rId5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6" min="1" max="1"/>
    <col width="20" customWidth="1" style="26" min="2" max="4"/>
  </cols>
  <sheetData>
    <row r="1" ht="36" customHeight="1" s="27">
      <c r="A1" s="28" t="inlineStr">
        <is>
          <t>🗾  일본 여행 계획표</t>
        </is>
      </c>
    </row>
    <row r="3" ht="25.5" customHeight="1" s="27">
      <c r="A3" s="29" t="inlineStr">
        <is>
          <t>여행 제목</t>
        </is>
      </c>
      <c r="B3" s="30" t="inlineStr">
        <is>
          <t>오사카 6박 7일 여행</t>
        </is>
      </c>
      <c r="C3" s="31" t="n"/>
      <c r="D3" s="31" t="n"/>
    </row>
    <row r="4" ht="25.5" customHeight="1" s="27">
      <c r="A4" s="29" t="inlineStr">
        <is>
          <t>여행 기간</t>
        </is>
      </c>
      <c r="B4" s="30" t="inlineStr">
        <is>
          <t>2026.06.21(일) ~ 2026.06.27(토)  (6박 7일)</t>
        </is>
      </c>
      <c r="C4" s="31" t="n"/>
      <c r="D4" s="31" t="n"/>
    </row>
    <row r="5" ht="25.5" customHeight="1" s="27">
      <c r="A5" s="29" t="inlineStr">
        <is>
          <t>여행 지역</t>
        </is>
      </c>
      <c r="B5" s="30" t="inlineStr">
        <is>
          <t>오사카 / 간사이(고베·교토·나라 등 근교)</t>
        </is>
      </c>
      <c r="C5" s="31" t="n"/>
      <c r="D5" s="31" t="n"/>
    </row>
    <row r="6" ht="25.5" customHeight="1" s="27">
      <c r="A6" s="29" t="inlineStr">
        <is>
          <t>동행 인원</t>
        </is>
      </c>
      <c r="B6" s="30" t="inlineStr">
        <is>
          <t>1명 (성인 1인 · 혼자 여행)</t>
        </is>
      </c>
      <c r="C6" s="31" t="n"/>
      <c r="D6" s="31" t="n"/>
    </row>
    <row r="7" ht="25.5" customHeight="1" s="27">
      <c r="A7" s="29" t="inlineStr">
        <is>
          <t>총 예산</t>
        </is>
      </c>
      <c r="B7" s="130">
        <f>'예산 정리'!D8</f>
        <v/>
      </c>
      <c r="C7" s="31" t="n"/>
      <c r="D7" s="31" t="n"/>
    </row>
    <row r="8" ht="25.5" customHeight="1" s="27">
      <c r="A8" s="29" t="inlineStr">
        <is>
          <t>환율 참고</t>
        </is>
      </c>
      <c r="B8" s="32" t="inlineStr">
        <is>
          <t>100엔 ≈ 920원</t>
        </is>
      </c>
      <c r="C8" s="31" t="n"/>
      <c r="D8" s="31" t="n"/>
    </row>
    <row r="9" ht="25.5" customHeight="1" s="27">
      <c r="A9" s="29" t="inlineStr">
        <is>
          <t>비상 연락처</t>
        </is>
      </c>
      <c r="B9" s="30" t="inlineStr">
        <is>
          <t>주오사카 대한민국 총영사관 +81-6-4256-2345</t>
        </is>
      </c>
      <c r="C9" s="31" t="n"/>
      <c r="D9" s="31" t="n"/>
    </row>
    <row r="11" ht="15" customHeight="1" s="27">
      <c r="A11" s="29" t="inlineStr">
        <is>
          <t>📝 메모</t>
        </is>
      </c>
      <c r="B11" s="31" t="n"/>
      <c r="C11" s="31" t="n"/>
      <c r="D11" s="33" t="n"/>
    </row>
    <row r="12" ht="15" customHeight="1" s="27">
      <c r="A12" s="34" t="n"/>
      <c r="B12" s="35" t="n"/>
      <c r="C12" s="35" t="n"/>
      <c r="D12" s="35" t="n"/>
    </row>
    <row r="13" ht="15" customHeight="1" s="27">
      <c r="A13" s="36" t="n"/>
    </row>
    <row r="14" ht="15" customHeight="1" s="27">
      <c r="A14" s="36" t="n"/>
    </row>
    <row r="15" ht="15" customHeight="1" s="27">
      <c r="A15" s="36" t="n"/>
    </row>
    <row r="16" ht="15" customHeight="1" s="27">
      <c r="A16" s="36" t="n"/>
    </row>
  </sheetData>
  <mergeCells count="10">
    <mergeCell ref="A1:D1"/>
    <mergeCell ref="B3:D3"/>
    <mergeCell ref="B5:D5"/>
    <mergeCell ref="A12:D16"/>
    <mergeCell ref="B8:D8"/>
    <mergeCell ref="B4:D4"/>
    <mergeCell ref="B9:D9"/>
    <mergeCell ref="A11:D11"/>
    <mergeCell ref="B7:D7"/>
    <mergeCell ref="B6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style="27" min="1" max="1"/>
    <col width="15" customWidth="1" style="27" min="2" max="2"/>
    <col width="16" customWidth="1" style="27" min="3" max="3"/>
    <col width="26" customWidth="1" style="27" min="4" max="4"/>
    <col width="30" customWidth="1" style="27" min="5" max="5"/>
    <col width="6" customWidth="1" style="27" min="6" max="6"/>
  </cols>
  <sheetData>
    <row r="1" ht="30" customHeight="1" s="27">
      <c r="A1" s="68" t="inlineStr">
        <is>
          <t>✅  출발 전 체크리스트 &amp; 예약 현황</t>
        </is>
      </c>
    </row>
    <row r="2" ht="20" customHeight="1" s="27">
      <c r="A2" s="131" t="inlineStr">
        <is>
          <t>오사카 6박7일 · 혼자 여행 · 2026.06.21~27  /  ☐를 체크하며 준비하세요</t>
        </is>
      </c>
    </row>
    <row r="3" ht="20" customHeight="1" s="27">
      <c r="A3" s="86" t="inlineStr">
        <is>
          <t>◆ 예약 완료 (확정)</t>
        </is>
      </c>
      <c r="B3" s="31" t="n"/>
      <c r="C3" s="31" t="n"/>
      <c r="D3" s="31" t="n"/>
      <c r="E3" s="31" t="n"/>
      <c r="F3" s="33" t="n"/>
    </row>
    <row r="4" ht="24" customHeight="1" s="27">
      <c r="A4" s="132" t="inlineStr">
        <is>
          <t>✅</t>
        </is>
      </c>
      <c r="B4" s="133" t="inlineStr">
        <is>
          <t>✈️ 항공 — 티웨이 PUS↔KIX 왕복 (예약 S3LWJ4) · 좌석 27F · 위탁수하물 15KG 포함</t>
        </is>
      </c>
      <c r="C4" s="31" t="n"/>
      <c r="D4" s="31" t="n"/>
      <c r="E4" s="31" t="n"/>
      <c r="F4" s="33" t="n"/>
    </row>
    <row r="5" ht="24" customHeight="1" s="27">
      <c r="A5" s="132" t="inlineStr">
        <is>
          <t>✅</t>
        </is>
      </c>
      <c r="B5" s="133" t="inlineStr">
        <is>
          <t>🏨 숙소 4곳 — 호스텔 오크(후쿠시마)·산티아고GH(교토)·캡슐호텔 고베·Kimi to Ichigo(난바) 전부 예약완료</t>
        </is>
      </c>
      <c r="C5" s="31" t="n"/>
      <c r="D5" s="31" t="n"/>
      <c r="E5" s="31" t="n"/>
      <c r="F5" s="33" t="n"/>
    </row>
    <row r="7" ht="20" customHeight="1" s="27">
      <c r="A7" s="86" t="inlineStr">
        <is>
          <t>◆ 교통 예약 / 구매 리스트  (※ 사전 예약 필수인 교통은 없음 — 대부분 ICOCA·당일권)</t>
        </is>
      </c>
      <c r="B7" s="31" t="n"/>
      <c r="C7" s="31" t="n"/>
      <c r="D7" s="31" t="n"/>
      <c r="E7" s="31" t="n"/>
      <c r="F7" s="33" t="n"/>
    </row>
    <row r="8" ht="20" customHeight="1" s="27">
      <c r="A8" s="85" t="inlineStr">
        <is>
          <t>항목</t>
        </is>
      </c>
      <c r="B8" s="85" t="inlineStr">
        <is>
          <t>시점</t>
        </is>
      </c>
      <c r="C8" s="85" t="inlineStr">
        <is>
          <t>예약 필요?</t>
        </is>
      </c>
      <c r="D8" s="85" t="inlineStr">
        <is>
          <t>어디서</t>
        </is>
      </c>
      <c r="E8" s="85" t="inlineStr">
        <is>
          <t>비고</t>
        </is>
      </c>
      <c r="F8" s="85" t="inlineStr">
        <is>
          <t>체크</t>
        </is>
      </c>
    </row>
    <row r="9" ht="32" customHeight="1" s="27">
      <c r="A9" s="101" t="inlineStr">
        <is>
          <t>ICOCA (충전식 IC)</t>
        </is>
      </c>
      <c r="B9" s="97" t="inlineStr">
        <is>
          <t>전 일정</t>
        </is>
      </c>
      <c r="C9" s="97" t="inlineStr">
        <is>
          <t>불필요</t>
        </is>
      </c>
      <c r="D9" s="89" t="inlineStr">
        <is>
          <t>KIX JR창구·역 / iPhone Wallet 사전등록</t>
        </is>
      </c>
      <c r="E9" s="91" t="inlineStr">
        <is>
          <t>보증금500+충전1,500 · 패스 외 전 구간 결제</t>
        </is>
      </c>
      <c r="F9" s="134" t="inlineStr">
        <is>
          <t>☐</t>
        </is>
      </c>
    </row>
    <row r="10" ht="32" customHeight="1" s="27">
      <c r="A10" s="101" t="inlineStr">
        <is>
          <t>공항↔시내 열차</t>
        </is>
      </c>
      <c r="B10" s="97" t="inlineStr">
        <is>
          <t>Day1·Day7</t>
        </is>
      </c>
      <c r="C10" s="97" t="inlineStr">
        <is>
          <t>불필요(자유석)</t>
        </is>
      </c>
      <c r="D10" s="89" t="inlineStr">
        <is>
          <t>당일 IC/티켓</t>
        </is>
      </c>
      <c r="E10" s="91" t="inlineStr">
        <is>
          <t>간사이공항쾌속(KIX→후쿠시마)·난카이 공항급행(난바→KIX) · 라피트/하루카 불필요</t>
        </is>
      </c>
      <c r="F10" s="134" t="inlineStr">
        <is>
          <t>☐</t>
        </is>
      </c>
    </row>
    <row r="11" ht="32" customHeight="1" s="27">
      <c r="A11" s="101" t="inlineStr">
        <is>
          <t>오사카 주유패스 1일권</t>
        </is>
      </c>
      <c r="B11" s="97" t="inlineStr">
        <is>
          <t>Day2</t>
        </is>
      </c>
      <c r="C11" s="97" t="inlineStr">
        <is>
          <t>권장: 사전(QR)</t>
        </is>
      </c>
      <c r="D11" s="89" t="inlineStr">
        <is>
          <t>KKday/온라인·우메다 안내소</t>
        </is>
      </c>
      <c r="E11" s="91" t="inlineStr">
        <is>
          <t>오사카성·시텐노지·도톤보리 리버크루즈·우메다스카이빌딩 무료입장</t>
        </is>
      </c>
      <c r="F11" s="134" t="inlineStr">
        <is>
          <t>☐</t>
        </is>
      </c>
    </row>
    <row r="12" ht="32" customHeight="1" s="27">
      <c r="A12" s="101" t="inlineStr">
        <is>
          <t>한큐 투어리스트 패스 1일</t>
        </is>
      </c>
      <c r="B12" s="97" t="inlineStr">
        <is>
          <t>Day4</t>
        </is>
      </c>
      <c r="C12" s="97" t="inlineStr">
        <is>
          <t>권장: 사전</t>
        </is>
      </c>
      <c r="D12" s="89" t="inlineStr">
        <is>
          <t>KKday·KIX·한큐센터</t>
        </is>
      </c>
      <c r="E12" s="91" t="inlineStr">
        <is>
          <t>외국인 여권 필요 · 우메다↔교토·아라시야마</t>
        </is>
      </c>
      <c r="F12" s="134" t="inlineStr">
        <is>
          <t>☐</t>
        </is>
      </c>
    </row>
    <row r="13" ht="32" customHeight="1" s="27">
      <c r="A13" s="101" t="inlineStr">
        <is>
          <t>교토 지하철·버스 1일권</t>
        </is>
      </c>
      <c r="B13" s="97" t="inlineStr">
        <is>
          <t>Day4</t>
        </is>
      </c>
      <c r="C13" s="97" t="inlineStr">
        <is>
          <t>불필요(현장)</t>
        </is>
      </c>
      <c r="D13" s="89" t="inlineStr">
        <is>
          <t>지하철역·KANSAI MaaS앱</t>
        </is>
      </c>
      <c r="E13" s="91" t="inlineStr">
        <is>
          <t>기요미즈·기온 버스</t>
        </is>
      </c>
      <c r="F13" s="134" t="inlineStr">
        <is>
          <t>☐</t>
        </is>
      </c>
    </row>
    <row r="14" ht="32" customHeight="1" s="27">
      <c r="A14" s="101" t="inlineStr">
        <is>
          <t>JR 신쾌속 (교토→고베)</t>
        </is>
      </c>
      <c r="B14" s="97" t="inlineStr">
        <is>
          <t>Day5</t>
        </is>
      </c>
      <c r="C14" s="97" t="inlineStr">
        <is>
          <t>불필요</t>
        </is>
      </c>
      <c r="D14" s="89" t="inlineStr">
        <is>
          <t>ICOCA</t>
        </is>
      </c>
      <c r="E14" s="91" t="inlineStr">
        <is>
          <t>자유석</t>
        </is>
      </c>
      <c r="F14" s="134" t="inlineStr">
        <is>
          <t>☐</t>
        </is>
      </c>
    </row>
    <row r="15" ht="32" customHeight="1" s="27">
      <c r="A15" s="101" t="inlineStr">
        <is>
          <t>★ JR 간사이 에어리어 1일권 (Day3 비와호 권장)</t>
        </is>
      </c>
      <c r="B15" s="97" t="inlineStr">
        <is>
          <t>Day3</t>
        </is>
      </c>
      <c r="C15" s="97" t="inlineStr">
        <is>
          <t>사면 사전</t>
        </is>
      </c>
      <c r="D15" s="89" t="inlineStr">
        <is>
          <t>JR서일본 온라인→역 교환</t>
        </is>
      </c>
      <c r="E15" s="91" t="inlineStr">
        <is>
          <t>후시미·비와호 묶음 / 안 사면 ICOCA 개별</t>
        </is>
      </c>
      <c r="F15" s="134" t="inlineStr">
        <is>
          <t>☐</t>
        </is>
      </c>
    </row>
    <row r="17" ht="20" customHeight="1" s="27">
      <c r="A17" s="86" t="inlineStr">
        <is>
          <t>◆ 출발 전 (오늘~내일) 할 일</t>
        </is>
      </c>
      <c r="B17" s="31" t="n"/>
      <c r="C17" s="31" t="n"/>
      <c r="D17" s="31" t="n"/>
      <c r="E17" s="31" t="n"/>
      <c r="F17" s="33" t="n"/>
    </row>
    <row r="18" ht="24" customHeight="1" s="27">
      <c r="A18" s="135" t="inlineStr">
        <is>
          <t>☐</t>
        </is>
      </c>
      <c r="B18" s="136" t="inlineStr">
        <is>
          <t>티웨이 온라인(웹) 체크인 — 오는편 좌석도 지정</t>
        </is>
      </c>
      <c r="C18" s="31" t="n"/>
      <c r="D18" s="31" t="n"/>
      <c r="E18" s="31" t="n"/>
      <c r="F18" s="33" t="n"/>
    </row>
    <row r="19" ht="24" customHeight="1" s="27">
      <c r="A19" s="135" t="inlineStr">
        <is>
          <t>☐</t>
        </is>
      </c>
      <c r="B19" s="136" t="inlineStr">
        <is>
          <t>Visit Japan Web 등록 (입국심사·세관 QR 생성)</t>
        </is>
      </c>
      <c r="C19" s="31" t="n"/>
      <c r="D19" s="31" t="n"/>
      <c r="E19" s="31" t="n"/>
      <c r="F19" s="33" t="n"/>
    </row>
    <row r="20" ht="24" customHeight="1" s="27">
      <c r="A20" s="135" t="inlineStr">
        <is>
          <t>☐</t>
        </is>
      </c>
      <c r="B20" s="136" t="inlineStr">
        <is>
          <t>ICOCA 준비 — iPhone Apple Wallet에 추가하거나 KIX 도착 후 구매</t>
        </is>
      </c>
      <c r="C20" s="31" t="n"/>
      <c r="D20" s="31" t="n"/>
      <c r="E20" s="31" t="n"/>
      <c r="F20" s="33" t="n"/>
    </row>
    <row r="21" ht="24" customHeight="1" s="27">
      <c r="A21" s="135" t="inlineStr">
        <is>
          <t>☐</t>
        </is>
      </c>
      <c r="B21" s="136" t="inlineStr">
        <is>
          <t>오사카 주유패스(Day2)·한큐 패스(Day4) KKday 사전구매 (선택·편의)</t>
        </is>
      </c>
      <c r="C21" s="31" t="n"/>
      <c r="D21" s="31" t="n"/>
      <c r="E21" s="31" t="n"/>
      <c r="F21" s="33" t="n"/>
    </row>
    <row r="22" ht="24" customHeight="1" s="27">
      <c r="A22" s="135" t="inlineStr">
        <is>
          <t>☐</t>
        </is>
      </c>
      <c r="B22" s="136" t="inlineStr">
        <is>
          <t>환전/트래블카드 + eSIM 또는 포켓와이파이 준비</t>
        </is>
      </c>
      <c r="C22" s="31" t="n"/>
      <c r="D22" s="31" t="n"/>
      <c r="E22" s="31" t="n"/>
      <c r="F22" s="33" t="n"/>
    </row>
    <row r="23" ht="24" customHeight="1" s="27">
      <c r="A23" s="135" t="inlineStr">
        <is>
          <t>☐</t>
        </is>
      </c>
      <c r="B23" s="136" t="inlineStr">
        <is>
          <t>보조배터리·전자담배·라이터는 기내 휴대 (위탁수하물 반입 불가)</t>
        </is>
      </c>
      <c r="C23" s="31" t="n"/>
      <c r="D23" s="31" t="n"/>
      <c r="E23" s="31" t="n"/>
      <c r="F23" s="33" t="n"/>
    </row>
    <row r="24" ht="24" customHeight="1" s="27">
      <c r="A24" s="135" t="inlineStr">
        <is>
          <t>☐</t>
        </is>
      </c>
      <c r="B24" s="136" t="inlineStr">
        <is>
          <t>바 호핑/다도 다시 넣을지 결정 — 현재 일정 제외, 「체험 후보」 시트에 KKday 링크 보관</t>
        </is>
      </c>
      <c r="C24" s="31" t="n"/>
      <c r="D24" s="31" t="n"/>
      <c r="E24" s="31" t="n"/>
      <c r="F24" s="33" t="n"/>
    </row>
    <row r="26" ht="20" customHeight="1" s="27">
      <c r="A26" s="86" t="inlineStr">
        <is>
          <t>◆ 현지 메모</t>
        </is>
      </c>
      <c r="B26" s="31" t="n"/>
      <c r="C26" s="31" t="n"/>
      <c r="D26" s="31" t="n"/>
      <c r="E26" s="31" t="n"/>
      <c r="F26" s="33" t="n"/>
    </row>
    <row r="27" ht="24" customHeight="1" s="27">
      <c r="A27" s="135" t="inlineStr">
        <is>
          <t>☐</t>
        </is>
      </c>
      <c r="B27" s="136" t="inlineStr">
        <is>
          <t>면세 쇼핑 시 여권 지참 (Day7 마지막 쇼핑)</t>
        </is>
      </c>
      <c r="C27" s="31" t="n"/>
      <c r="D27" s="31" t="n"/>
      <c r="E27" s="31" t="n"/>
      <c r="F27" s="33" t="n"/>
    </row>
    <row r="28" ht="24" customHeight="1" s="27">
      <c r="A28" s="135" t="inlineStr">
        <is>
          <t>☐</t>
        </is>
      </c>
      <c r="B28" s="136" t="inlineStr">
        <is>
          <t>기온 사유지 골목 사진촬영 금지 (위반 벌금) · 게이코 무단촬영 금지</t>
        </is>
      </c>
      <c r="C28" s="31" t="n"/>
      <c r="D28" s="31" t="n"/>
      <c r="E28" s="31" t="n"/>
      <c r="F28" s="33" t="n"/>
    </row>
    <row r="29" ht="24" customHeight="1" s="27">
      <c r="A29" s="135" t="inlineStr">
        <is>
          <t>☐</t>
        </is>
      </c>
      <c r="B29" s="136" t="inlineStr">
        <is>
          <t>짐은 전 일정 숙소에 보관 — 코인로커 불필요 (Day1 후쿠시마·Day7 Kimi to Ichigo)</t>
        </is>
      </c>
      <c r="C29" s="31" t="n"/>
      <c r="D29" s="31" t="n"/>
      <c r="E29" s="31" t="n"/>
      <c r="F29" s="33" t="n"/>
    </row>
    <row r="30" ht="24" customHeight="1" s="27">
      <c r="A30" s="135" t="inlineStr">
        <is>
          <t>☐</t>
        </is>
      </c>
      <c r="B30" s="136" t="inlineStr">
        <is>
          <t>캡슐호텔 고베는 남성 전용 · 체크인 시간 확인</t>
        </is>
      </c>
      <c r="C30" s="31" t="n"/>
      <c r="D30" s="31" t="n"/>
      <c r="E30" s="31" t="n"/>
      <c r="F30" s="33" t="n"/>
    </row>
  </sheetData>
  <mergeCells count="19">
    <mergeCell ref="B4:F4"/>
    <mergeCell ref="B22:F22"/>
    <mergeCell ref="A26:F26"/>
    <mergeCell ref="A3:F3"/>
    <mergeCell ref="B18:F18"/>
    <mergeCell ref="B27:F27"/>
    <mergeCell ref="B21:F21"/>
    <mergeCell ref="A2:F2"/>
    <mergeCell ref="A17:F17"/>
    <mergeCell ref="B23:F23"/>
    <mergeCell ref="B29:F29"/>
    <mergeCell ref="B28:F28"/>
    <mergeCell ref="B19:F19"/>
    <mergeCell ref="B30:F30"/>
    <mergeCell ref="B24:F24"/>
    <mergeCell ref="B20:F20"/>
    <mergeCell ref="A1:F1"/>
    <mergeCell ref="B5:F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style="27" min="1" max="1"/>
    <col width="8" customWidth="1" style="27" min="2" max="2"/>
    <col width="14" customWidth="1" style="27" min="3" max="3"/>
    <col width="16" customWidth="1" style="27" min="4" max="4"/>
    <col width="34" customWidth="1" style="27" min="5" max="5"/>
  </cols>
  <sheetData>
    <row r="1" ht="30" customHeight="1" s="27">
      <c r="A1" s="68" t="inlineStr">
        <is>
          <t>💰  예산 정리 (자동 환산)</t>
        </is>
      </c>
    </row>
    <row r="2">
      <c r="A2" s="69" t="inlineStr">
        <is>
          <t>적용 환율 (1엔당 원화)</t>
        </is>
      </c>
      <c r="B2" s="70" t="n">
        <v>9.199999999999999</v>
      </c>
      <c r="C2" s="71" t="inlineStr">
        <is>
          <t>100엔 ≈ 920원 기준 · 엔화(¥) 항목은 위 환율(B2)로 자동 환산</t>
        </is>
      </c>
      <c r="D2" s="31" t="n"/>
      <c r="E2" s="33" t="n"/>
    </row>
    <row r="3" ht="20" customHeight="1" s="27">
      <c r="A3" s="73" t="inlineStr">
        <is>
          <t>항목</t>
        </is>
      </c>
      <c r="B3" s="73" t="inlineStr">
        <is>
          <t>통화</t>
        </is>
      </c>
      <c r="C3" s="73" t="inlineStr">
        <is>
          <t>현지 금액</t>
        </is>
      </c>
      <c r="D3" s="73" t="inlineStr">
        <is>
          <t>원화 환산(원)</t>
        </is>
      </c>
      <c r="E3" s="73" t="inlineStr">
        <is>
          <t>비고</t>
        </is>
      </c>
    </row>
    <row r="4">
      <c r="A4" s="74" t="inlineStr">
        <is>
          <t>항공권 (왕복)</t>
        </is>
      </c>
      <c r="B4" s="75" t="inlineStr">
        <is>
          <t>원</t>
        </is>
      </c>
      <c r="C4" s="76" t="n"/>
      <c r="D4" s="76">
        <f>'항공편'!G7</f>
        <v/>
      </c>
      <c r="E4" s="77" t="inlineStr">
        <is>
          <t>티웨이 PUS↔KIX · 요금 입력 시 자동</t>
        </is>
      </c>
    </row>
    <row r="5">
      <c r="A5" s="78" t="inlineStr">
        <is>
          <t>숙박비</t>
        </is>
      </c>
      <c r="B5" s="79" t="inlineStr">
        <is>
          <t>엔</t>
        </is>
      </c>
      <c r="C5" s="80">
        <f>'숙소'!F7</f>
        <v/>
      </c>
      <c r="D5" s="80">
        <f>C5*$B$2</f>
        <v/>
      </c>
      <c r="E5" s="81" t="inlineStr">
        <is>
          <t>예약 완료 · 박수×1박요금 입력 시 자동</t>
        </is>
      </c>
    </row>
    <row r="6">
      <c r="A6" s="74" t="inlineStr">
        <is>
          <t>현지 비용(활동·식비·교통)</t>
        </is>
      </c>
      <c r="B6" s="75" t="inlineStr">
        <is>
          <t>엔</t>
        </is>
      </c>
      <c r="C6" s="76">
        <f>'요일별 일정'!F50</f>
        <v/>
      </c>
      <c r="D6" s="76">
        <f>C6*$B$2</f>
        <v/>
      </c>
      <c r="E6" s="77" t="inlineStr">
        <is>
          <t>일정표 예상비용 합계</t>
        </is>
      </c>
    </row>
    <row r="7">
      <c r="A7" s="78" t="inlineStr">
        <is>
          <t>교통 패스 (선택)</t>
        </is>
      </c>
      <c r="B7" s="79" t="inlineStr">
        <is>
          <t>엔</t>
        </is>
      </c>
      <c r="C7" s="80">
        <f>'교통수단'!C8</f>
        <v/>
      </c>
      <c r="D7" s="80">
        <f>C7*$B$2</f>
        <v/>
      </c>
      <c r="E7" s="81" t="inlineStr">
        <is>
          <t>주유패스(Day2)+한큐·교토1일권(Day4) 추천 구매 합계 / ICOCA·개별요금은 현지 비용에 포함</t>
        </is>
      </c>
    </row>
    <row r="8" ht="22" customHeight="1" s="27">
      <c r="A8" s="82" t="inlineStr">
        <is>
          <t>총 합계 (원)</t>
        </is>
      </c>
      <c r="B8" s="31" t="n"/>
      <c r="C8" s="33" t="n"/>
      <c r="D8" s="83">
        <f>SUM(D4:D7)</f>
        <v/>
      </c>
      <c r="E8" s="71" t="inlineStr">
        <is>
          <t>환율·요금 입력에 따라 자동 갱신</t>
        </is>
      </c>
    </row>
    <row r="10">
      <c r="A10" s="84" t="inlineStr">
        <is>
          <t>• 항공권·숙박 요금이 비어 있으면 0원으로 합산됩니다. 실제 금액을 입력하면 총합이 자동으로 갱신됩니다.</t>
        </is>
      </c>
    </row>
    <row r="11">
      <c r="A11" s="84" t="inlineStr">
        <is>
          <t>• 교통 패스는 선택 항목입니다. 패스를 구매하면 일정표의 개별 승차요금과 일부 중복될 수 있습니다.</t>
        </is>
      </c>
    </row>
    <row r="12">
      <c r="A12" s="84" t="inlineStr">
        <is>
          <t>• 식비·기념품·입장료는 일정표 예상비용에 포함된 추정치이며, 별도 예비비(현지 비용의 10~15%)를 두는 것을 권장합니다.</t>
        </is>
      </c>
    </row>
  </sheetData>
  <mergeCells count="6">
    <mergeCell ref="C2:E2"/>
    <mergeCell ref="A12:E12"/>
    <mergeCell ref="A10:E10"/>
    <mergeCell ref="A8:C8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3" customWidth="1" style="26" min="2" max="2"/>
    <col width="18" customWidth="1" style="26" min="3" max="3"/>
    <col width="20" customWidth="1" style="26" min="4" max="5"/>
    <col width="14" customWidth="1" style="26" min="6" max="6"/>
    <col width="13" customWidth="1" style="26" min="7" max="7"/>
  </cols>
  <sheetData>
    <row r="1" ht="36" customHeight="1" s="27">
      <c r="A1" s="28" t="inlineStr">
        <is>
          <t>✈️  항공편 정보</t>
        </is>
      </c>
    </row>
    <row r="2" ht="27.75" customHeight="1" s="27">
      <c r="A2" s="37" t="inlineStr">
        <is>
          <t>구분</t>
        </is>
      </c>
      <c r="B2" s="37" t="inlineStr">
        <is>
          <t>날짜</t>
        </is>
      </c>
      <c r="C2" s="37" t="inlineStr">
        <is>
          <t>항공사 / 편명</t>
        </is>
      </c>
      <c r="D2" s="37" t="inlineStr">
        <is>
          <t>출발 (공항/시간)</t>
        </is>
      </c>
      <c r="E2" s="37" t="inlineStr">
        <is>
          <t>도착 (공항/시간)</t>
        </is>
      </c>
      <c r="F2" s="37" t="inlineStr">
        <is>
          <t>예약번호</t>
        </is>
      </c>
      <c r="G2" s="37" t="inlineStr">
        <is>
          <t>요금(원)</t>
        </is>
      </c>
    </row>
    <row r="3" ht="25.5" customHeight="1" s="27">
      <c r="A3" s="59" t="inlineStr">
        <is>
          <t>가는 편</t>
        </is>
      </c>
      <c r="B3" s="57" t="inlineStr">
        <is>
          <t>2026.06.21 (일)</t>
        </is>
      </c>
      <c r="C3" s="116" t="inlineStr">
        <is>
          <t>티웨이항공 (편명 확인)</t>
        </is>
      </c>
      <c r="D3" s="58" t="inlineStr">
        <is>
          <t>김해 PUS 09:20</t>
        </is>
      </c>
      <c r="E3" s="58" t="inlineStr">
        <is>
          <t>간사이 KIX 10:55 (예상)</t>
        </is>
      </c>
      <c r="F3" s="57" t="inlineStr">
        <is>
          <t>S3LWJ4</t>
        </is>
      </c>
      <c r="G3" s="41" t="n">
        <v>126400</v>
      </c>
    </row>
    <row r="4" ht="25.5" customHeight="1" s="27">
      <c r="A4" s="42" t="inlineStr">
        <is>
          <t>오는 편</t>
        </is>
      </c>
      <c r="B4" s="43" t="inlineStr">
        <is>
          <t>2026.06.27 (토)</t>
        </is>
      </c>
      <c r="C4" s="44" t="inlineStr">
        <is>
          <t>티웨이항공 (편명 확인)</t>
        </is>
      </c>
      <c r="D4" s="44" t="inlineStr">
        <is>
          <t>간사이 KIX 18:55</t>
        </is>
      </c>
      <c r="E4" s="44" t="inlineStr">
        <is>
          <t>김해 PUS 20:30 (예상)</t>
        </is>
      </c>
      <c r="F4" s="43" t="inlineStr">
        <is>
          <t>S3LWJ4</t>
        </is>
      </c>
      <c r="G4" s="41" t="n">
        <v>151980</v>
      </c>
    </row>
    <row r="5" ht="25.5" customHeight="1" s="27">
      <c r="A5" s="59" t="n"/>
      <c r="B5" s="59" t="n"/>
      <c r="C5" s="58" t="n"/>
      <c r="D5" s="58" t="n"/>
      <c r="E5" s="58" t="n"/>
      <c r="F5" s="59" t="n"/>
      <c r="G5" s="41" t="n"/>
    </row>
    <row r="6" ht="25.5" customHeight="1" s="27">
      <c r="A6" s="42" t="n"/>
      <c r="B6" s="42" t="n"/>
      <c r="C6" s="44" t="n"/>
      <c r="D6" s="44" t="n"/>
      <c r="E6" s="44" t="n"/>
      <c r="F6" s="42" t="n"/>
      <c r="G6" s="41" t="n"/>
    </row>
    <row r="7" ht="15" customHeight="1" s="27">
      <c r="A7" s="45" t="inlineStr">
        <is>
          <t>항공권 합계 (원)</t>
        </is>
      </c>
      <c r="B7" s="31" t="n"/>
      <c r="C7" s="31" t="n"/>
      <c r="D7" s="31" t="n"/>
      <c r="E7" s="31" t="n"/>
      <c r="F7" s="33" t="n"/>
      <c r="G7" s="46">
        <f>SUM(G3:G6)</f>
        <v/>
      </c>
    </row>
    <row r="9" ht="14.15" customHeight="1" s="27">
      <c r="A9" s="47" t="inlineStr">
        <is>
          <t>✔ 체크: 좌석 27F(가는편) 지정완료 / 온라인(웹) 체크인 / Visit Japan Web 등록 / 보조배터리·전자담배·라이터는 기내 휴대 / 위탁수하물 15KG 포함(별도 구매 불필요)</t>
        </is>
      </c>
    </row>
    <row r="11" ht="20" customHeight="1" s="27">
      <c r="A11" s="48" t="inlineStr">
        <is>
          <t>📌 탑승수속 · 수하물 안내 (티웨이항공)</t>
        </is>
      </c>
    </row>
    <row r="12" ht="22" customHeight="1" s="27">
      <c r="A12" s="49" t="inlineStr">
        <is>
          <t>• 탑승수속 마감: 국제선 출발 50분 전 (공항별 상이)  →  가는 편 08:30 / 오는 편 18:05 까지 수속 완료</t>
        </is>
      </c>
    </row>
    <row r="13" ht="22" customHeight="1" s="27">
      <c r="A13" s="49" t="inlineStr">
        <is>
          <t>• 기내 휴대 수하물: 일반석 10kg 이하 1개 (가로+세로+높이 합 115cm 이내) / 비즈니스석 각 10kg 이하 총 2개</t>
        </is>
      </c>
    </row>
    <row r="14" ht="22" customHeight="1" s="27">
      <c r="A14" s="49" t="inlineStr">
        <is>
          <t>• 위탁수하물: 15KG 1개 포함 (가는편·오는편 각각) — 예약에 포함, 별도 구매 불필요</t>
        </is>
      </c>
    </row>
    <row r="15" ht="22" customHeight="1" s="27">
      <c r="A15" s="49" t="inlineStr">
        <is>
          <t>• 보조배터리 · 전자담배 · 라이터: 부치는 짐(위탁) 반입 불가 → 반드시 기내 휴대</t>
        </is>
      </c>
    </row>
  </sheetData>
  <mergeCells count="8">
    <mergeCell ref="A13:G13"/>
    <mergeCell ref="A14:G14"/>
    <mergeCell ref="A1:G1"/>
    <mergeCell ref="A9:G9"/>
    <mergeCell ref="A12:G12"/>
    <mergeCell ref="A15:G15"/>
    <mergeCell ref="A11:G11"/>
    <mergeCell ref="A7:F7"/>
  </mergeCells>
  <hyperlinks>
    <hyperlink xmlns:r="http://schemas.openxmlformats.org/officeDocument/2006/relationships" ref="C3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6" min="1" max="1"/>
    <col width="13" customWidth="1" style="26" min="2" max="2"/>
    <col width="12" customWidth="1" style="26" min="3" max="4"/>
    <col width="7" customWidth="1" style="26" min="5" max="5"/>
    <col width="13" customWidth="1" style="26" min="6" max="6"/>
    <col width="14" customWidth="1" style="26" min="7" max="7"/>
    <col width="26" customWidth="1" style="26" min="8" max="8"/>
  </cols>
  <sheetData>
    <row r="1" ht="36" customHeight="1" s="27">
      <c r="A1" s="28" t="inlineStr">
        <is>
          <t>🏨  숙소 정보</t>
        </is>
      </c>
    </row>
    <row r="2" ht="27.75" customHeight="1" s="27">
      <c r="A2" s="37" t="inlineStr">
        <is>
          <t>숙소명</t>
        </is>
      </c>
      <c r="B2" s="37" t="inlineStr">
        <is>
          <t>지역</t>
        </is>
      </c>
      <c r="C2" s="37" t="inlineStr">
        <is>
          <t>체크인</t>
        </is>
      </c>
      <c r="D2" s="37" t="inlineStr">
        <is>
          <t>체크아웃</t>
        </is>
      </c>
      <c r="E2" s="37" t="inlineStr">
        <is>
          <t>박수</t>
        </is>
      </c>
      <c r="F2" s="50" t="inlineStr">
        <is>
          <t>1박 요금(엔)</t>
        </is>
      </c>
      <c r="G2" s="37" t="inlineStr">
        <is>
          <t>예약사이트</t>
        </is>
      </c>
      <c r="H2" s="37" t="inlineStr">
        <is>
          <t>주소 / 메모</t>
        </is>
      </c>
    </row>
    <row r="3" ht="27.75" customHeight="1" s="27">
      <c r="A3" s="58" t="inlineStr">
        <is>
          <t>호스텔 오크 (Hostel OGK)</t>
        </is>
      </c>
      <c r="B3" s="59" t="inlineStr">
        <is>
          <t>오사카(후쿠시마·우메다)</t>
        </is>
      </c>
      <c r="C3" s="57" t="inlineStr">
        <is>
          <t>2026.06.21</t>
        </is>
      </c>
      <c r="D3" s="57" t="inlineStr">
        <is>
          <t>2026.06.23</t>
        </is>
      </c>
      <c r="E3" s="51" t="n">
        <v>2</v>
      </c>
      <c r="F3" s="41" t="n">
        <v>2797</v>
      </c>
      <c r="G3" s="59" t="inlineStr">
        <is>
          <t>트립닷컴(예약완료)</t>
        </is>
      </c>
      <c r="H3" s="58" t="inlineStr">
        <is>
          <t>Umeda First Bldg, 6-12-13 Fukushima, Fukushima-ku 553-0003 / 혼성 도미토리 1베드 / 체크인14:00~21:00 · 짐보관 요청완료 / 2박 51,464원 · 환불불가(6/19 이후) / 예약 ...573198</t>
        </is>
      </c>
    </row>
    <row r="4" ht="27.75" customHeight="1" s="27">
      <c r="A4" s="44" t="inlineStr">
        <is>
          <t>산티아고 게스트하우스 교토</t>
        </is>
      </c>
      <c r="B4" s="42" t="inlineStr">
        <is>
          <t>교토</t>
        </is>
      </c>
      <c r="C4" s="42" t="inlineStr">
        <is>
          <t>2026.06.23</t>
        </is>
      </c>
      <c r="D4" s="42" t="inlineStr">
        <is>
          <t>2026.06.25</t>
        </is>
      </c>
      <c r="E4" s="51" t="n">
        <v>2</v>
      </c>
      <c r="F4" s="41" t="n">
        <v>1845</v>
      </c>
      <c r="G4" s="42" t="inlineStr">
        <is>
          <t>트립닷컴(예약완료)</t>
        </is>
      </c>
      <c r="H4" s="44" t="inlineStr">
        <is>
          <t>12인 혼성 도미토리(Bunk) / 6/23~25 2박 33,948원 / 예약 ...344582 · 짐보관·WiFi</t>
        </is>
      </c>
    </row>
    <row r="5" ht="27.75" customHeight="1" s="27">
      <c r="A5" s="58" t="inlineStr">
        <is>
          <t>캡슐호텔 고베 산노미야</t>
        </is>
      </c>
      <c r="B5" s="59" t="inlineStr">
        <is>
          <t>고베(산노미야)</t>
        </is>
      </c>
      <c r="C5" s="59" t="inlineStr">
        <is>
          <t>2026.06.25</t>
        </is>
      </c>
      <c r="D5" s="59" t="inlineStr">
        <is>
          <t>2026.06.26</t>
        </is>
      </c>
      <c r="E5" s="51" t="n">
        <v>1</v>
      </c>
      <c r="F5" s="41" t="n">
        <v>4070</v>
      </c>
      <c r="G5" s="59" t="inlineStr">
        <is>
          <t>트립닷컴(예약완료)</t>
        </is>
      </c>
      <c r="H5" s="58" t="inlineStr">
        <is>
          <t>남성 전용 / 싱글룸 · 전용주차·사우나·짐보관 / 6/25~26 1박 37,445원 / 예약 ...469121</t>
        </is>
      </c>
    </row>
    <row r="6" ht="15" customHeight="1" s="27">
      <c r="A6" s="44" t="inlineStr">
        <is>
          <t>Cafe&amp;Hostel Kimi to Ichigo</t>
        </is>
      </c>
      <c r="B6" s="42" t="inlineStr">
        <is>
          <t>오사카(난바·닛폰바시)</t>
        </is>
      </c>
      <c r="C6" s="42" t="inlineStr">
        <is>
          <t>2026.06.26</t>
        </is>
      </c>
      <c r="D6" s="42" t="inlineStr">
        <is>
          <t>2026.06.27</t>
        </is>
      </c>
      <c r="E6" s="51" t="n">
        <v>1</v>
      </c>
      <c r="F6" s="41" t="n">
        <v>2279</v>
      </c>
      <c r="G6" s="42" t="inlineStr">
        <is>
          <t>트립닷컴(예약완료)</t>
        </is>
      </c>
      <c r="H6" s="44" t="inlineStr">
        <is>
          <t>2-9-7 Sennichimae, Chuo-ku / 긴테쓰 닛폰바시역 도보3분·난바 도보5분 / 혼성 도미토리 Bunk·만화 라이브러리·짐보관 / 1박 20,963원 / 예약 ...493995</t>
        </is>
      </c>
    </row>
    <row r="7" ht="15" customHeight="1" s="27">
      <c r="A7" s="45" t="inlineStr">
        <is>
          <t>숙박비 합계 (엔)  ※박수×1박요금</t>
        </is>
      </c>
      <c r="B7" s="31" t="n"/>
      <c r="C7" s="31" t="n"/>
      <c r="D7" s="31" t="n"/>
      <c r="E7" s="33" t="n"/>
      <c r="F7" s="46">
        <f>SUMPRODUCT(E3:E6,F3:F6)</f>
        <v/>
      </c>
      <c r="G7" s="52" t="n"/>
      <c r="H7" s="52" t="n"/>
    </row>
  </sheetData>
  <mergeCells count="2">
    <mergeCell ref="A7:E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1" customWidth="1" style="27" min="2" max="2"/>
    <col width="14" customWidth="1" style="27" min="3" max="3"/>
    <col width="30" customWidth="1" style="27" min="4" max="4"/>
    <col width="13" customWidth="1" style="27" min="5" max="5"/>
    <col width="12" customWidth="1" style="27" min="6" max="6"/>
    <col width="44" customWidth="1" style="27" min="7" max="7"/>
  </cols>
  <sheetData>
    <row r="1" ht="30" customHeight="1" s="27">
      <c r="A1" s="68" t="inlineStr">
        <is>
          <t>🗓  요일별 상세 일정</t>
        </is>
      </c>
    </row>
    <row r="2" ht="20" customHeight="1" s="27">
      <c r="A2" s="85" t="inlineStr">
        <is>
          <t>Day / 날짜</t>
        </is>
      </c>
      <c r="B2" s="85" t="inlineStr">
        <is>
          <t>시간</t>
        </is>
      </c>
      <c r="C2" s="85" t="inlineStr">
        <is>
          <t>지역</t>
        </is>
      </c>
      <c r="D2" s="85" t="inlineStr">
        <is>
          <t>활동 내용</t>
        </is>
      </c>
      <c r="E2" s="85" t="inlineStr">
        <is>
          <t>이동 수단</t>
        </is>
      </c>
      <c r="F2" s="85" t="inlineStr">
        <is>
          <t>예상 비용(엔)</t>
        </is>
      </c>
      <c r="G2" s="85" t="inlineStr">
        <is>
          <t>메모</t>
        </is>
      </c>
    </row>
    <row r="3" ht="30" customHeight="1" s="27">
      <c r="A3" s="98" t="inlineStr">
        <is>
          <t>Day1
06.21 (일)</t>
        </is>
      </c>
      <c r="B3" s="112" t="inlineStr">
        <is>
          <t>09:20→10:55</t>
        </is>
      </c>
      <c r="C3" s="88" t="inlineStr">
        <is>
          <t>간사이공항(KIX)</t>
        </is>
      </c>
      <c r="D3" s="88" t="inlineStr">
        <is>
          <t>입국·짐 찾기·ICOCA 충전 (TW S3LWJ4)</t>
        </is>
      </c>
      <c r="E3" s="97" t="inlineStr">
        <is>
          <t>—</t>
        </is>
      </c>
      <c r="F3" s="113" t="n">
        <v>0</v>
      </c>
      <c r="G3" s="91" t="inlineStr">
        <is>
          <t>와이파이 / Visit Japan Web</t>
        </is>
      </c>
    </row>
    <row r="4" ht="30" customHeight="1" s="27">
      <c r="A4" s="100" t="n"/>
      <c r="B4" s="114" t="inlineStr">
        <is>
          <t>~12:30</t>
        </is>
      </c>
      <c r="C4" s="93" t="inlineStr">
        <is>
          <t>호스텔 오크(후쿠시마)</t>
        </is>
      </c>
      <c r="D4" s="93" t="inlineStr">
        <is>
          <t>호스텔 오크 짐 보관 (짐보관 서비스 요청 완료)</t>
        </is>
      </c>
      <c r="E4" s="99" t="inlineStr">
        <is>
          <t>JR 간사이공항쾌속</t>
        </is>
      </c>
      <c r="F4" s="115" t="n">
        <v>1210</v>
      </c>
      <c r="G4" s="96" t="inlineStr">
        <is>
          <t>후쿠시마역 직통(오사카역 옆) · 코인로커 불필요 / 체크인 14시~</t>
        </is>
      </c>
    </row>
    <row r="5" ht="30" customHeight="1" s="27">
      <c r="A5" s="98" t="n"/>
      <c r="B5" s="112" t="inlineStr">
        <is>
          <t>13:30</t>
        </is>
      </c>
      <c r="C5" s="88" t="inlineStr">
        <is>
          <t>차야마치 일대(우메다)</t>
        </is>
      </c>
      <c r="D5" s="88" t="inlineStr">
        <is>
          <t>🎌 차야마치 오시 페스티벌(회유형) · 우메다 이동</t>
        </is>
      </c>
      <c r="E5" s="97" t="inlineStr">
        <is>
          <t>도보(15분)</t>
        </is>
      </c>
      <c r="F5" s="113" t="n">
        <v>0</v>
      </c>
      <c r="G5" s="91" t="inlineStr">
        <is>
          <t>후쿠시마→우메다 도보 15분 또는 JR 1정거장(160) / ~18:00·무료</t>
        </is>
      </c>
    </row>
    <row r="6" ht="30" customHeight="1" s="27">
      <c r="A6" s="100" t="n"/>
      <c r="B6" s="114" t="inlineStr">
        <is>
          <t>15:30</t>
        </is>
      </c>
      <c r="C6" s="93" t="inlineStr">
        <is>
          <t>닌텐도·포켓몬센터(우메다)</t>
        </is>
      </c>
      <c r="D6" s="93" t="inlineStr">
        <is>
          <t>🎮 닌텐도 OSAKA·포켓몬센터 오사카 (한정굿즈)</t>
        </is>
      </c>
      <c r="E6" s="99" t="inlineStr">
        <is>
          <t>도보</t>
        </is>
      </c>
      <c r="F6" s="115" t="n">
        <v>0</v>
      </c>
      <c r="G6" s="96" t="inlineStr">
        <is>
          <t>다이마루 우메다 13F·10~20시 / 차야마치서 도보 7분 · 마리오·포켓몬 한정굿즈</t>
        </is>
      </c>
    </row>
    <row r="7" ht="30" customHeight="1" s="27">
      <c r="A7" s="98" t="n"/>
      <c r="B7" s="112" t="inlineStr">
        <is>
          <t>16:30</t>
        </is>
      </c>
      <c r="C7" s="88" t="inlineStr">
        <is>
          <t>HEP FIVE(차야마치)</t>
        </is>
      </c>
      <c r="D7" s="88" t="inlineStr">
        <is>
          <t>🎡 HEP FIVE 빨간 관람차·점프숍</t>
        </is>
      </c>
      <c r="E7" s="97" t="inlineStr">
        <is>
          <t>도보</t>
        </is>
      </c>
      <c r="F7" s="113" t="n">
        <v>1000</v>
      </c>
      <c r="G7" s="91" t="inlineStr">
        <is>
          <t>차야마치 옆 랜드마크 관람차 ¥1,000(11~23시) + 점프숍(원피스·귀멸)</t>
        </is>
      </c>
    </row>
    <row r="8" ht="30" customHeight="1" s="27">
      <c r="A8" s="100" t="n"/>
      <c r="B8" s="114" t="inlineStr">
        <is>
          <t>17:30</t>
        </is>
      </c>
      <c r="C8" s="93" t="inlineStr">
        <is>
          <t>나카자키초</t>
        </is>
      </c>
      <c r="D8" s="93" t="inlineStr">
        <is>
          <t>🚶 나카자키초 레트로 골목 산책 (카페·빈티지·골목 아트)</t>
        </is>
      </c>
      <c r="E8" s="99" t="inlineStr">
        <is>
          <t>지하철/도보</t>
        </is>
      </c>
      <c r="F8" s="115" t="n">
        <v>0</v>
      </c>
      <c r="G8" s="96" t="inlineStr">
        <is>
          <t>우메다서 도보 15분 또는 지하철 한 정거장 · 조용한 인디 골목·사진 명소</t>
        </is>
      </c>
    </row>
    <row r="9" ht="30" customHeight="1" s="27">
      <c r="A9" s="98" t="n"/>
      <c r="B9" s="112" t="inlineStr">
        <is>
          <t>18:30</t>
        </is>
      </c>
      <c r="C9" s="88" t="inlineStr">
        <is>
          <t>그랑프론트·한큐삼번가</t>
        </is>
      </c>
      <c r="D9" s="88" t="inlineStr">
        <is>
          <t>저녁</t>
        </is>
      </c>
      <c r="E9" s="97" t="inlineStr">
        <is>
          <t>도보</t>
        </is>
      </c>
      <c r="F9" s="113" t="n">
        <v>3000</v>
      </c>
      <c r="G9" s="91" t="inlineStr">
        <is>
          <t>동선 짧음</t>
        </is>
      </c>
    </row>
    <row r="10" ht="30" customHeight="1" s="27">
      <c r="A10" s="100" t="n"/>
      <c r="B10" s="114" t="inlineStr">
        <is>
          <t>20:00</t>
        </is>
      </c>
      <c r="C10" s="93" t="inlineStr">
        <is>
          <t>우메다 스카이빌딩</t>
        </is>
      </c>
      <c r="D10" s="93" t="inlineStr">
        <is>
          <t>🌃 야경 — 공중정원 전망대 (확정)</t>
        </is>
      </c>
      <c r="E10" s="99" t="inlineStr">
        <is>
          <t>도보</t>
        </is>
      </c>
      <c r="F10" s="115" t="n">
        <v>2000</v>
      </c>
      <c r="G10" s="96" t="inlineStr">
        <is>
          <t>9:30~22:30 · 성인 2,000엔 / JR오사카역 도보 7분</t>
        </is>
      </c>
    </row>
    <row r="11" ht="30" customHeight="1" s="27">
      <c r="A11" s="98" t="n"/>
      <c r="B11" s="112" t="inlineStr">
        <is>
          <t>21:30</t>
        </is>
      </c>
      <c r="C11" s="88" t="inlineStr">
        <is>
          <t>우메다→호스텔</t>
        </is>
      </c>
      <c r="D11" s="88" t="inlineStr">
        <is>
          <t>호스텔 오크 복귀·체크인</t>
        </is>
      </c>
      <c r="E11" s="97" t="inlineStr">
        <is>
          <t>도보</t>
        </is>
      </c>
      <c r="F11" s="113" t="n">
        <v>0</v>
      </c>
      <c r="G11" s="91" t="inlineStr">
        <is>
          <t>후쿠시마역 / 짐 이미 맡겨둠</t>
        </is>
      </c>
    </row>
    <row r="12" ht="30" customHeight="1" s="27">
      <c r="A12" s="100" t="inlineStr">
        <is>
          <t>Day2
06.22 (월)</t>
        </is>
      </c>
      <c r="B12" s="114" t="inlineStr">
        <is>
          <t>09:30</t>
        </is>
      </c>
      <c r="C12" s="93" t="inlineStr">
        <is>
          <t>오사카성</t>
        </is>
      </c>
      <c r="D12" s="93" t="inlineStr">
        <is>
          <t>오사카성·천수각 관람</t>
        </is>
      </c>
      <c r="E12" s="99" t="inlineStr">
        <is>
          <t>지하철</t>
        </is>
      </c>
      <c r="F12" s="115" t="n">
        <v>600</v>
      </c>
      <c r="G12" s="96" t="inlineStr">
        <is>
          <t>입장료(주유패스 무료)</t>
        </is>
      </c>
    </row>
    <row r="13" ht="30" customHeight="1" s="27">
      <c r="A13" s="98" t="n"/>
      <c r="B13" s="112" t="inlineStr">
        <is>
          <t>12:00</t>
        </is>
      </c>
      <c r="C13" s="88" t="inlineStr">
        <is>
          <t>오사카성 인근</t>
        </is>
      </c>
      <c r="D13" s="88" t="inlineStr">
        <is>
          <t>점심</t>
        </is>
      </c>
      <c r="E13" s="97" t="inlineStr">
        <is>
          <t>도보</t>
        </is>
      </c>
      <c r="F13" s="113" t="n">
        <v>1200</v>
      </c>
      <c r="G13" s="91" t="inlineStr"/>
    </row>
    <row r="14" ht="30" customHeight="1" s="27">
      <c r="A14" s="100" t="n"/>
      <c r="B14" s="114" t="inlineStr">
        <is>
          <t>14:00</t>
        </is>
      </c>
      <c r="C14" s="93" t="inlineStr">
        <is>
          <t>시텐노지</t>
        </is>
      </c>
      <c r="D14" s="93" t="inlineStr">
        <is>
          <t>⛩️ 시텐노지 (오사카 最古 사찰)·오층탑·정원</t>
        </is>
      </c>
      <c r="E14" s="99" t="inlineStr">
        <is>
          <t>지하철</t>
        </is>
      </c>
      <c r="F14" s="115" t="n">
        <v>0</v>
      </c>
      <c r="G14" s="96" t="inlineStr">
        <is>
          <t>주유패스 무료(중심가람·정원) · 고요한 참배 / 오사카성서 남쪽</t>
        </is>
      </c>
    </row>
    <row r="15" ht="30" customHeight="1" s="27">
      <c r="A15" s="98" t="n"/>
      <c r="B15" s="112" t="inlineStr">
        <is>
          <t>16:30</t>
        </is>
      </c>
      <c r="C15" s="88" t="inlineStr">
        <is>
          <t>도톤보리</t>
        </is>
      </c>
      <c r="D15" s="88" t="inlineStr">
        <is>
          <t>🚤 도톤보리 리버크루즈·미나미 산책</t>
        </is>
      </c>
      <c r="E15" s="97" t="inlineStr">
        <is>
          <t>도보</t>
        </is>
      </c>
      <c r="F15" s="113" t="n">
        <v>0</v>
      </c>
      <c r="G15" s="91" t="inlineStr">
        <is>
          <t>주유패스 무료 보트(약20분)·운하서 글리코사인</t>
        </is>
      </c>
    </row>
    <row r="16" ht="30" customHeight="1" s="27">
      <c r="A16" s="100" t="n"/>
      <c r="B16" s="114" t="inlineStr">
        <is>
          <t>19:00</t>
        </is>
      </c>
      <c r="C16" s="93" t="inlineStr">
        <is>
          <t>도톤보리</t>
        </is>
      </c>
      <c r="D16" s="93" t="inlineStr">
        <is>
          <t>🍢 도톤보리 저녁 — 타코야키·오코노미야키·구시카츠 길거리 먹부림</t>
        </is>
      </c>
      <c r="E16" s="99" t="inlineStr">
        <is>
          <t>도보</t>
        </is>
      </c>
      <c r="F16" s="115" t="n">
        <v>3000</v>
      </c>
      <c r="G16" s="96" t="inlineStr">
        <is>
          <t>글리코사인 앞·에비스바시 일대</t>
        </is>
      </c>
    </row>
    <row r="17" ht="30" customHeight="1" s="27">
      <c r="A17" s="98" t="n"/>
      <c r="B17" s="112" t="inlineStr">
        <is>
          <t>20:30</t>
        </is>
      </c>
      <c r="C17" s="88" t="inlineStr">
        <is>
          <t>도톤보리·우라난바</t>
        </is>
      </c>
      <c r="D17" s="88" t="inlineStr">
        <is>
          <t>🌃 도톤보리 야간 — 글리코 네온·운하 + GiGO 게임센터·우라난바 골목</t>
        </is>
      </c>
      <c r="E17" s="97" t="inlineStr">
        <is>
          <t>도보</t>
        </is>
      </c>
      <c r="F17" s="113" t="n">
        <v>0</v>
      </c>
      <c r="G17" s="91" t="inlineStr">
        <is>
          <t>도톤보리다운 밤: 네온·크레인게임(GiGO 심야)·이자카야 골목 / 글리코 반영 운하</t>
        </is>
      </c>
    </row>
    <row r="18" ht="30" customHeight="1" s="27">
      <c r="A18" s="100" t="inlineStr">
        <is>
          <t>Day3
06.23 (화)</t>
        </is>
      </c>
      <c r="B18" s="114" t="inlineStr">
        <is>
          <t>08:00</t>
        </is>
      </c>
      <c r="C18" s="93" t="inlineStr">
        <is>
          <t>우메다→교토</t>
        </is>
      </c>
      <c r="D18" s="93" t="inlineStr">
        <is>
          <t>호스텔 오크 체크아웃·교토 이동·산티아고GH 짐보관</t>
        </is>
      </c>
      <c r="E18" s="99" t="inlineStr">
        <is>
          <t>JR/한큐</t>
        </is>
      </c>
      <c r="F18" s="115" t="n">
        <v>580</v>
      </c>
      <c r="G18" s="96" t="inlineStr">
        <is>
          <t>체크인15시~·도착 즉시 짐보관</t>
        </is>
      </c>
    </row>
    <row r="19" ht="30" customHeight="1" s="27">
      <c r="A19" s="98" t="n"/>
      <c r="B19" s="112" t="inlineStr">
        <is>
          <t>09:20</t>
        </is>
      </c>
      <c r="C19" s="88" t="inlineStr">
        <is>
          <t>후시미이나리</t>
        </is>
      </c>
      <c r="D19" s="88" t="inlineStr">
        <is>
          <t>🦊 후시미이나리타이샤(천본도리이)</t>
        </is>
      </c>
      <c r="E19" s="97" t="inlineStr">
        <is>
          <t>JR나라선</t>
        </is>
      </c>
      <c r="F19" s="113" t="n">
        <v>300</v>
      </c>
      <c r="G19" s="91" t="inlineStr">
        <is>
          <t>여우신사·무료 / 이른 오전 한산·교토역서 왕복</t>
        </is>
      </c>
    </row>
    <row r="20" ht="30" customHeight="1" s="27">
      <c r="A20" s="100" t="n"/>
      <c r="B20" s="114" t="inlineStr">
        <is>
          <t>11:00</t>
        </is>
      </c>
      <c r="C20" s="93" t="inlineStr">
        <is>
          <t>비와호(시라히게)</t>
        </is>
      </c>
      <c r="D20" s="93" t="inlineStr">
        <is>
          <t>⛩️ 시라히게 신사 — 비와호 위 도리이</t>
        </is>
      </c>
      <c r="E20" s="99" t="inlineStr">
        <is>
          <t>JR 코세이선</t>
        </is>
      </c>
      <c r="F20" s="115" t="n">
        <v>1460</v>
      </c>
      <c r="G20" s="96" t="inlineStr">
        <is>
          <t>교토→오미타카시마 약50분(¥860)·역서 자전거15분/합승택시¥300·호수 도리이 / ⚠국도161 횡단주의</t>
        </is>
      </c>
    </row>
    <row r="21" ht="30" customHeight="1" s="27">
      <c r="A21" s="98" t="n"/>
      <c r="B21" s="112" t="inlineStr">
        <is>
          <t>13:20</t>
        </is>
      </c>
      <c r="C21" s="88" t="inlineStr">
        <is>
          <t>비와코 테라스(전망대)</t>
        </is>
      </c>
      <c r="D21" s="88" t="inlineStr">
        <is>
          <t>🌅 비와코 테라스 — 로프웨이·1,100m 비와호 절경·점심</t>
        </is>
      </c>
      <c r="E21" s="97" t="inlineStr">
        <is>
          <t>코세이선+버스+로프웨이</t>
        </is>
      </c>
      <c r="F21" s="113" t="n">
        <v>8620</v>
      </c>
      <c r="G21" s="91" t="inlineStr">
        <is>
          <t>시가역→버스¥390→로프웨이왕복¥5,000 · 6/23 강수0% 절경·웹 사전할인권 / 흐리면 생략</t>
        </is>
      </c>
    </row>
    <row r="22" ht="30" customHeight="1" s="27">
      <c r="A22" s="100" t="n"/>
      <c r="B22" s="114" t="inlineStr">
        <is>
          <t>17:30</t>
        </is>
      </c>
      <c r="C22" s="93" t="inlineStr">
        <is>
          <t>교토 복귀</t>
        </is>
      </c>
      <c r="D22" s="93" t="inlineStr">
        <is>
          <t>가와라마치·폰토초 저녁</t>
        </is>
      </c>
      <c r="E22" s="99" t="inlineStr">
        <is>
          <t>코세이선</t>
        </is>
      </c>
      <c r="F22" s="115" t="n">
        <v>2500</v>
      </c>
      <c r="G22" s="96" t="inlineStr">
        <is>
          <t>시가→교토 약50분·숙소 체크인</t>
        </is>
      </c>
    </row>
    <row r="23" ht="30" customHeight="1" s="27">
      <c r="A23" s="98" t="n"/>
      <c r="B23" s="112" t="inlineStr">
        <is>
          <t>20:00</t>
        </is>
      </c>
      <c r="C23" s="88" t="inlineStr">
        <is>
          <t>폰토초·기온</t>
        </is>
      </c>
      <c r="D23" s="88" t="inlineStr">
        <is>
          <t>🌃 기온·폰토초·가모강변 야간 산책</t>
        </is>
      </c>
      <c r="E23" s="97" t="inlineStr">
        <is>
          <t>도보</t>
        </is>
      </c>
      <c r="F23" s="113" t="n">
        <v>0</v>
      </c>
      <c r="G23" s="91" t="inlineStr">
        <is>
          <t>기온 골목→폰토초→가모강 / ⚠기온 사유지 골목 촬영금지</t>
        </is>
      </c>
    </row>
    <row r="24" ht="30" customHeight="1" s="27">
      <c r="A24" s="100" t="inlineStr">
        <is>
          <t>Day4
06.24 (수)</t>
        </is>
      </c>
      <c r="B24" s="114" t="inlineStr">
        <is>
          <t>09:00</t>
        </is>
      </c>
      <c r="C24" s="93" t="inlineStr">
        <is>
          <t>아라시야마</t>
        </is>
      </c>
      <c r="D24" s="93" t="inlineStr">
        <is>
          <t>🎋 치쿠린(대나무숲)·도게쓰교</t>
        </is>
      </c>
      <c r="E24" s="99" t="inlineStr">
        <is>
          <t>한큐/란덴</t>
        </is>
      </c>
      <c r="F24" s="115" t="n">
        <v>240</v>
      </c>
      <c r="G24" s="96" t="inlineStr">
        <is>
          <t>아침 일찍 추천</t>
        </is>
      </c>
    </row>
    <row r="25" ht="30" customHeight="1" s="27">
      <c r="A25" s="98" t="n"/>
      <c r="B25" s="112" t="inlineStr">
        <is>
          <t>11:00</t>
        </is>
      </c>
      <c r="C25" s="88" t="inlineStr">
        <is>
          <t>아라시야마</t>
        </is>
      </c>
      <c r="D25" s="88" t="inlineStr">
        <is>
          <t>텐류지 정원</t>
        </is>
      </c>
      <c r="E25" s="97" t="inlineStr">
        <is>
          <t>도보</t>
        </is>
      </c>
      <c r="F25" s="113" t="n">
        <v>500</v>
      </c>
      <c r="G25" s="91" t="inlineStr">
        <is>
          <t>입장료</t>
        </is>
      </c>
    </row>
    <row r="26" ht="30" customHeight="1" s="27">
      <c r="A26" s="100" t="n"/>
      <c r="B26" s="114" t="inlineStr">
        <is>
          <t>13:00</t>
        </is>
      </c>
      <c r="C26" s="93" t="inlineStr">
        <is>
          <t>아라시야마</t>
        </is>
      </c>
      <c r="D26" s="93" t="inlineStr">
        <is>
          <t>점심</t>
        </is>
      </c>
      <c r="E26" s="99" t="inlineStr">
        <is>
          <t>도보</t>
        </is>
      </c>
      <c r="F26" s="115" t="n">
        <v>1500</v>
      </c>
      <c r="G26" s="96" t="inlineStr"/>
    </row>
    <row r="27" ht="30" customHeight="1" s="27">
      <c r="A27" s="98" t="n"/>
      <c r="B27" s="112" t="inlineStr">
        <is>
          <t>15:00</t>
        </is>
      </c>
      <c r="C27" s="88" t="inlineStr">
        <is>
          <t>기요미즈데라</t>
        </is>
      </c>
      <c r="D27" s="88" t="inlineStr">
        <is>
          <t>청수사(기요미즈데라)</t>
        </is>
      </c>
      <c r="E27" s="97" t="inlineStr">
        <is>
          <t>버스/전철</t>
        </is>
      </c>
      <c r="F27" s="113" t="n">
        <v>500</v>
      </c>
      <c r="G27" s="91" t="inlineStr">
        <is>
          <t>입장료</t>
        </is>
      </c>
    </row>
    <row r="28" ht="30" customHeight="1" s="27">
      <c r="A28" s="100" t="n"/>
      <c r="B28" s="114" t="inlineStr">
        <is>
          <t>16:30</t>
        </is>
      </c>
      <c r="C28" s="93" t="inlineStr">
        <is>
          <t>산넨자카·니넨자카</t>
        </is>
      </c>
      <c r="D28" s="93" t="inlineStr">
        <is>
          <t>옛 돌계단 거리·기온</t>
        </is>
      </c>
      <c r="E28" s="99" t="inlineStr">
        <is>
          <t>도보</t>
        </is>
      </c>
      <c r="F28" s="115" t="n">
        <v>0</v>
      </c>
      <c r="G28" s="96" t="inlineStr">
        <is>
          <t>기념품·찻집</t>
        </is>
      </c>
    </row>
    <row r="29" ht="30" customHeight="1" s="27">
      <c r="A29" s="98" t="n"/>
      <c r="B29" s="112" t="inlineStr">
        <is>
          <t>19:00</t>
        </is>
      </c>
      <c r="C29" s="88" t="inlineStr">
        <is>
          <t>가와라마치</t>
        </is>
      </c>
      <c r="D29" s="88" t="inlineStr">
        <is>
          <t>저녁</t>
        </is>
      </c>
      <c r="E29" s="97" t="inlineStr">
        <is>
          <t>도보</t>
        </is>
      </c>
      <c r="F29" s="113" t="n">
        <v>2500</v>
      </c>
      <c r="G29" s="91" t="inlineStr"/>
    </row>
    <row r="30" ht="30" customHeight="1" s="27">
      <c r="A30" s="100" t="n"/>
      <c r="B30" s="114" t="inlineStr">
        <is>
          <t>20:30</t>
        </is>
      </c>
      <c r="C30" s="93" t="inlineStr">
        <is>
          <t>가와라마치·기온</t>
        </is>
      </c>
      <c r="D30" s="93" t="inlineStr">
        <is>
          <t>🌃 가와라마치·가모강·교토 도심 밤거리 산책</t>
        </is>
      </c>
      <c r="E30" s="99" t="inlineStr">
        <is>
          <t>도보</t>
        </is>
      </c>
      <c r="F30" s="115" t="n">
        <v>0</v>
      </c>
      <c r="G30" s="96" t="inlineStr">
        <is>
          <t>가모강변 분위기·교토 도심</t>
        </is>
      </c>
    </row>
    <row r="31" ht="30" customHeight="1" s="27">
      <c r="A31" s="98" t="inlineStr">
        <is>
          <t>Day5
06.25 (목)</t>
        </is>
      </c>
      <c r="B31" s="112" t="inlineStr">
        <is>
          <t>09:30</t>
        </is>
      </c>
      <c r="C31" s="88" t="inlineStr">
        <is>
          <t>교토→고베</t>
        </is>
      </c>
      <c r="D31" s="88" t="inlineStr">
        <is>
          <t>산티아고GH 체크아웃·고베 이동</t>
        </is>
      </c>
      <c r="E31" s="97" t="inlineStr">
        <is>
          <t>JR신쾌속</t>
        </is>
      </c>
      <c r="F31" s="113" t="n">
        <v>1110</v>
      </c>
      <c r="G31" s="91" t="inlineStr">
        <is>
          <t>약 50분</t>
        </is>
      </c>
    </row>
    <row r="32" ht="30" customHeight="1" s="27">
      <c r="A32" s="100" t="n"/>
      <c r="B32" s="114" t="inlineStr">
        <is>
          <t>11:00</t>
        </is>
      </c>
      <c r="C32" s="93" t="inlineStr">
        <is>
          <t>산노미야</t>
        </is>
      </c>
      <c r="D32" s="93" t="inlineStr">
        <is>
          <t>캡슐호텔 짐 보관</t>
        </is>
      </c>
      <c r="E32" s="99" t="inlineStr">
        <is>
          <t>도보</t>
        </is>
      </c>
      <c r="F32" s="115" t="n">
        <v>0</v>
      </c>
      <c r="G32" s="96" t="inlineStr">
        <is>
          <t>남성 전용 / 체크인</t>
        </is>
      </c>
    </row>
    <row r="33" ht="30" customHeight="1" s="27">
      <c r="A33" s="98" t="n"/>
      <c r="B33" s="112" t="inlineStr">
        <is>
          <t>11:30</t>
        </is>
      </c>
      <c r="C33" s="88" t="inlineStr">
        <is>
          <t>기타노이진칸</t>
        </is>
      </c>
      <c r="D33" s="88" t="inlineStr">
        <is>
          <t>이진칸(서양관) 거리 산책</t>
        </is>
      </c>
      <c r="E33" s="97" t="inlineStr">
        <is>
          <t>도보</t>
        </is>
      </c>
      <c r="F33" s="113" t="n">
        <v>0</v>
      </c>
      <c r="G33" s="91" t="inlineStr"/>
    </row>
    <row r="34" ht="30" customHeight="1" s="27">
      <c r="A34" s="100" t="n"/>
      <c r="B34" s="114" t="inlineStr">
        <is>
          <t>13:00</t>
        </is>
      </c>
      <c r="C34" s="93" t="inlineStr">
        <is>
          <t>산노미야</t>
        </is>
      </c>
      <c r="D34" s="93" t="inlineStr">
        <is>
          <t>점심 — 고베규!</t>
        </is>
      </c>
      <c r="E34" s="99" t="inlineStr">
        <is>
          <t>도보</t>
        </is>
      </c>
      <c r="F34" s="115" t="n">
        <v>4000</v>
      </c>
      <c r="G34" s="96" t="inlineStr">
        <is>
          <t>고베규 스테이크</t>
        </is>
      </c>
    </row>
    <row r="35" ht="30" customHeight="1" s="27">
      <c r="A35" s="98" t="n"/>
      <c r="B35" s="112" t="inlineStr">
        <is>
          <t>15:00</t>
        </is>
      </c>
      <c r="C35" s="88" t="inlineStr">
        <is>
          <t>하버랜드·메리켄파크</t>
        </is>
      </c>
      <c r="D35" s="88" t="inlineStr">
        <is>
          <t>🌀 모자이크 대관람차(스즈메 성지)·포트타워</t>
        </is>
      </c>
      <c r="E35" s="97" t="inlineStr">
        <is>
          <t>도보</t>
        </is>
      </c>
      <c r="F35" s="113" t="n">
        <v>1000</v>
      </c>
      <c r="G35" s="91" t="inlineStr">
        <is>
          <t>「스즈메의 문단속」 관람차 성지 · 하버랜드역(JR고베역) 인근</t>
        </is>
      </c>
    </row>
    <row r="36" ht="30" customHeight="1" s="27">
      <c r="A36" s="100" t="n"/>
      <c r="B36" s="114" t="inlineStr">
        <is>
          <t>18:00</t>
        </is>
      </c>
      <c r="C36" s="93" t="inlineStr">
        <is>
          <t>고베</t>
        </is>
      </c>
      <c r="D36" s="93" t="inlineStr">
        <is>
          <t>🌃 고베 하버랜드·모자이크 야경 (저녁)</t>
        </is>
      </c>
      <c r="E36" s="99" t="inlineStr">
        <is>
          <t>도보</t>
        </is>
      </c>
      <c r="F36" s="115" t="n">
        <v>3000</v>
      </c>
      <c r="G36" s="96" t="inlineStr"/>
    </row>
    <row r="37" ht="30" customHeight="1" s="27">
      <c r="A37" s="98" t="n"/>
      <c r="B37" s="112" t="inlineStr">
        <is>
          <t>19:30</t>
        </is>
      </c>
      <c r="C37" s="88" t="inlineStr">
        <is>
          <t>산노미야</t>
        </is>
      </c>
      <c r="D37" s="88" t="inlineStr">
        <is>
          <t>🌃 산노미야 밤거리 산책</t>
        </is>
      </c>
      <c r="E37" s="97" t="inlineStr">
        <is>
          <t>도보</t>
        </is>
      </c>
      <c r="F37" s="113" t="n">
        <v>0</v>
      </c>
      <c r="G37" s="91" t="inlineStr"/>
    </row>
    <row r="38" ht="30" customHeight="1" s="27">
      <c r="A38" s="100" t="inlineStr">
        <is>
          <t>Day6
06.26 (금)</t>
        </is>
      </c>
      <c r="B38" s="114" t="inlineStr">
        <is>
          <t>09:30</t>
        </is>
      </c>
      <c r="C38" s="93" t="inlineStr">
        <is>
          <t>고베→오사카</t>
        </is>
      </c>
      <c r="D38" s="93" t="inlineStr">
        <is>
          <t>캡슐호텔 체크아웃·오사카 이동</t>
        </is>
      </c>
      <c r="E38" s="99" t="inlineStr">
        <is>
          <t>한신/JR</t>
        </is>
      </c>
      <c r="F38" s="115" t="n">
        <v>410</v>
      </c>
      <c r="G38" s="96" t="inlineStr">
        <is>
          <t>약 40분</t>
        </is>
      </c>
    </row>
    <row r="39" ht="30" customHeight="1" s="27">
      <c r="A39" s="98" t="n"/>
      <c r="B39" s="112" t="inlineStr">
        <is>
          <t>10:30</t>
        </is>
      </c>
      <c r="C39" s="88" t="inlineStr">
        <is>
          <t>오사카</t>
        </is>
      </c>
      <c r="D39" s="88" t="inlineStr">
        <is>
          <t>Kimi to Ichigo 짐 보관</t>
        </is>
      </c>
      <c r="E39" s="97" t="inlineStr">
        <is>
          <t>도보</t>
        </is>
      </c>
      <c r="F39" s="113" t="n">
        <v>0</v>
      </c>
      <c r="G39" s="91" t="inlineStr">
        <is>
          <t>체크인 준비</t>
        </is>
      </c>
    </row>
    <row r="40" ht="30" customHeight="1" s="27">
      <c r="A40" s="100" t="n"/>
      <c r="B40" s="114" t="inlineStr">
        <is>
          <t>11:30</t>
        </is>
      </c>
      <c r="C40" s="93" t="inlineStr">
        <is>
          <t>신세카이</t>
        </is>
      </c>
      <c r="D40" s="93" t="inlineStr">
        <is>
          <t>쓰텐카쿠·구시카쓰 점심</t>
        </is>
      </c>
      <c r="E40" s="99" t="inlineStr">
        <is>
          <t>지하철</t>
        </is>
      </c>
      <c r="F40" s="115" t="n">
        <v>2000</v>
      </c>
      <c r="G40" s="96" t="inlineStr"/>
    </row>
    <row r="41" ht="30" customHeight="1" s="27">
      <c r="A41" s="98" t="n"/>
      <c r="B41" s="112" t="inlineStr">
        <is>
          <t>14:00</t>
        </is>
      </c>
      <c r="C41" s="88" t="inlineStr">
        <is>
          <t>쿠로몬 시장(닛폰바시)</t>
        </is>
      </c>
      <c r="D41" s="88" t="inlineStr">
        <is>
          <t>🦐 쿠로몬 시장 — '오사카의 부엌' 길거리 먹거리·구경</t>
        </is>
      </c>
      <c r="E41" s="97" t="inlineStr">
        <is>
          <t>지하철</t>
        </is>
      </c>
      <c r="F41" s="113" t="n">
        <v>1500</v>
      </c>
      <c r="G41" s="91" t="inlineStr">
        <is>
          <t>신선 해산물·와규 꼬치·과일 / 입장무료+간식 / 신세카이~난바 사이 동선 좋음 (대부분 ~17시 마감)</t>
        </is>
      </c>
    </row>
    <row r="42" ht="30" customHeight="1" s="27">
      <c r="A42" s="100" t="n"/>
      <c r="B42" s="114" t="inlineStr">
        <is>
          <t>17:00</t>
        </is>
      </c>
      <c r="C42" s="93" t="inlineStr">
        <is>
          <t>난바·미나미</t>
        </is>
      </c>
      <c r="D42" s="93" t="inlineStr">
        <is>
          <t>⛩️ 난바 야사카 신사·호젠지요코초 (옛 골목·신사)</t>
        </is>
      </c>
      <c r="E42" s="99" t="inlineStr">
        <is>
          <t>지하철</t>
        </is>
      </c>
      <c r="F42" s="115" t="n">
        <v>0</v>
      </c>
      <c r="G42" s="96" t="inlineStr">
        <is>
          <t>거대 사자머리 신전·물 끼얹는 부동명왕 / 무료·도보권</t>
        </is>
      </c>
    </row>
    <row r="43" ht="30" customHeight="1" s="27">
      <c r="A43" s="98" t="n"/>
      <c r="B43" s="112" t="inlineStr">
        <is>
          <t>19:00</t>
        </is>
      </c>
      <c r="C43" s="88" t="inlineStr">
        <is>
          <t>난바</t>
        </is>
      </c>
      <c r="D43" s="88" t="inlineStr">
        <is>
          <t>저녁</t>
        </is>
      </c>
      <c r="E43" s="97" t="inlineStr">
        <is>
          <t>도보</t>
        </is>
      </c>
      <c r="F43" s="113" t="n">
        <v>3000</v>
      </c>
      <c r="G43" s="91" t="inlineStr"/>
    </row>
    <row r="44" ht="30" customHeight="1" s="27">
      <c r="A44" s="100" t="n"/>
      <c r="B44" s="114" t="inlineStr">
        <is>
          <t>20:30</t>
        </is>
      </c>
      <c r="C44" s="93" t="inlineStr">
        <is>
          <t>신세카이·우라난바</t>
        </is>
      </c>
      <c r="D44" s="93" t="inlineStr">
        <is>
          <t>🌃 신세카이 쓰텐카쿠 야경·우라난바 (오사카)</t>
        </is>
      </c>
      <c r="E44" s="99" t="inlineStr">
        <is>
          <t>지하철</t>
        </is>
      </c>
      <c r="F44" s="115" t="n">
        <v>0</v>
      </c>
      <c r="G44" s="96" t="inlineStr">
        <is>
          <t>6/26 밤은 오사카(난바·신세카이)—고베 하버랜드는 6/25에 배치</t>
        </is>
      </c>
    </row>
    <row r="45" ht="30" customHeight="1" s="27">
      <c r="A45" s="98" t="inlineStr">
        <is>
          <t>Day7
06.27 (토)</t>
        </is>
      </c>
      <c r="B45" s="112" t="inlineStr">
        <is>
          <t>09:00</t>
        </is>
      </c>
      <c r="C45" s="88" t="inlineStr">
        <is>
          <t>오사카(난바)</t>
        </is>
      </c>
      <c r="D45" s="88" t="inlineStr">
        <is>
          <t>Kimi to Ichigo 체크아웃 후 숙소에 짐 보관</t>
        </is>
      </c>
      <c r="E45" s="97" t="inlineStr">
        <is>
          <t>—</t>
        </is>
      </c>
      <c r="F45" s="113" t="n">
        <v>0</v>
      </c>
      <c r="G45" s="91" t="inlineStr">
        <is>
          <t>난바 도보5분·코인로커 불필요 / 체크아웃 후 호스텔 짐 보관 가능</t>
        </is>
      </c>
    </row>
    <row r="46" ht="30" customHeight="1" s="27">
      <c r="A46" s="100" t="n"/>
      <c r="B46" s="114" t="inlineStr">
        <is>
          <t>10:00</t>
        </is>
      </c>
      <c r="C46" s="93" t="inlineStr">
        <is>
          <t>신사이바시·도톤보리</t>
        </is>
      </c>
      <c r="D46" s="93" t="inlineStr">
        <is>
          <t>🛍️ 마지막 쇼핑 — 기념품·드럭스토어·100엔샵·애니/오시 굿즈 한번에</t>
        </is>
      </c>
      <c r="E46" s="99" t="inlineStr">
        <is>
          <t>도보</t>
        </is>
      </c>
      <c r="F46" s="115" t="n">
        <v>5000</v>
      </c>
      <c r="G46" s="96" t="inlineStr">
        <is>
          <t>미뤄둔 쇼핑 몰아서 / 면세 시 여권 지참 / 도톤보리·신사이바시·닛폰바시</t>
        </is>
      </c>
    </row>
    <row r="47" ht="30" customHeight="1" s="27">
      <c r="A47" s="98" t="n"/>
      <c r="B47" s="112" t="inlineStr">
        <is>
          <t>13:00</t>
        </is>
      </c>
      <c r="C47" s="88" t="inlineStr">
        <is>
          <t>난바</t>
        </is>
      </c>
      <c r="D47" s="88" t="inlineStr">
        <is>
          <t>난바 점심 · 숙소에서 짐 회수</t>
        </is>
      </c>
      <c r="E47" s="97" t="inlineStr">
        <is>
          <t>도보</t>
        </is>
      </c>
      <c r="F47" s="113" t="n">
        <v>1500</v>
      </c>
      <c r="G47" s="91" t="inlineStr">
        <is>
          <t>Kimi to Ichigo 들러 짐 찾고 공항行</t>
        </is>
      </c>
    </row>
    <row r="48" ht="30" customHeight="1" s="27">
      <c r="A48" s="100" t="n"/>
      <c r="B48" s="114" t="inlineStr">
        <is>
          <t>15:30</t>
        </is>
      </c>
      <c r="C48" s="93" t="inlineStr">
        <is>
          <t>난바→공항</t>
        </is>
      </c>
      <c r="D48" s="93" t="inlineStr">
        <is>
          <t>간사이공항 이동</t>
        </is>
      </c>
      <c r="E48" s="99" t="inlineStr">
        <is>
          <t>난카이선</t>
        </is>
      </c>
      <c r="F48" s="115" t="n">
        <v>970</v>
      </c>
      <c r="G48" s="96" t="inlineStr">
        <is>
          <t>약 45분</t>
        </is>
      </c>
    </row>
    <row r="49" ht="30" customHeight="1" s="27">
      <c r="A49" s="98" t="n"/>
      <c r="B49" s="112" t="inlineStr">
        <is>
          <t>~18:05</t>
        </is>
      </c>
      <c r="C49" s="88" t="inlineStr">
        <is>
          <t>간사이공항(KIX)</t>
        </is>
      </c>
      <c r="D49" s="88" t="inlineStr">
        <is>
          <t>탑승수속 마감(18:05)·출국 (TW S3LWJ4)</t>
        </is>
      </c>
      <c r="E49" s="97" t="inlineStr">
        <is>
          <t>—</t>
        </is>
      </c>
      <c r="F49" s="113" t="n">
        <v>0</v>
      </c>
      <c r="G49" s="91" t="inlineStr">
        <is>
          <t>18:55 김해행 / 마감 50분 전</t>
        </is>
      </c>
    </row>
    <row r="50" ht="22" customHeight="1" s="27">
      <c r="A50" s="73" t="inlineStr">
        <is>
          <t>일정 예상 비용 합계 (엔)</t>
        </is>
      </c>
      <c r="B50" s="31" t="n"/>
      <c r="C50" s="31" t="n"/>
      <c r="D50" s="31" t="n"/>
      <c r="E50" s="33" t="n"/>
      <c r="F50" s="83">
        <f>SUM(F3:F49)</f>
        <v/>
      </c>
      <c r="G50" s="72" t="n"/>
    </row>
  </sheetData>
  <mergeCells count="2">
    <mergeCell ref="A50:E50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style="27" min="1" max="1"/>
    <col width="26" customWidth="1" style="27" min="2" max="2"/>
    <col width="16" customWidth="1" style="27" min="3" max="3"/>
    <col width="14" customWidth="1" style="27" min="4" max="4"/>
    <col width="30" customWidth="1" style="27" min="5" max="5"/>
    <col width="12" customWidth="1" style="27" min="6" max="6"/>
  </cols>
  <sheetData>
    <row r="1" ht="30" customHeight="1" s="27">
      <c r="A1" s="68" t="inlineStr">
        <is>
          <t>🚆  교통수단 · 패스 일정 (이 일정 기준)</t>
        </is>
      </c>
    </row>
    <row r="2" ht="20" customHeight="1" s="27">
      <c r="A2" s="86" t="inlineStr">
        <is>
          <t>◆ 추천 패스 / 카드 (이 일정에서 실제 구매)</t>
        </is>
      </c>
      <c r="B2" s="31" t="n"/>
      <c r="C2" s="31" t="n"/>
      <c r="D2" s="31" t="n"/>
      <c r="E2" s="31" t="n"/>
      <c r="F2" s="33" t="n"/>
    </row>
    <row r="3" ht="20" customHeight="1" s="27">
      <c r="A3" s="85" t="inlineStr">
        <is>
          <t>패스 / 카드</t>
        </is>
      </c>
      <c r="B3" s="85" t="inlineStr">
        <is>
          <t>사용 시점</t>
        </is>
      </c>
      <c r="C3" s="85" t="inlineStr">
        <is>
          <t>가격(엔)</t>
        </is>
      </c>
      <c r="D3" s="85" t="inlineStr">
        <is>
          <t>구매처</t>
        </is>
      </c>
      <c r="E3" s="85" t="inlineStr">
        <is>
          <t>메모</t>
        </is>
      </c>
      <c r="F3" s="85" t="inlineStr">
        <is>
          <t>체크</t>
        </is>
      </c>
    </row>
    <row r="4" ht="28" customHeight="1" s="27">
      <c r="A4" s="98" t="inlineStr">
        <is>
          <t>ICOCA (충전식)</t>
        </is>
      </c>
      <c r="B4" s="122" t="inlineStr">
        <is>
          <t>전 일정 베이스</t>
        </is>
      </c>
      <c r="C4" s="113" t="inlineStr">
        <is>
          <t>2,000 *</t>
        </is>
      </c>
      <c r="D4" s="89" t="inlineStr">
        <is>
          <t>KIX·역·iPhone Wallet</t>
        </is>
      </c>
      <c r="E4" s="91" t="inlineStr">
        <is>
          <t>패스 안 쓰는 모든 구간 결제 (보증금500+충전1,500) · 충전 실비는 일정에 포함</t>
        </is>
      </c>
      <c r="F4" s="122" t="inlineStr"/>
    </row>
    <row r="5" ht="28" customHeight="1" s="27">
      <c r="A5" s="100" t="inlineStr">
        <is>
          <t>오사카 주유패스 1일권</t>
        </is>
      </c>
      <c r="B5" s="123" t="inlineStr">
        <is>
          <t>Day2 (6/22)</t>
        </is>
      </c>
      <c r="C5" s="115" t="n">
        <v>3500</v>
      </c>
      <c r="D5" s="94" t="inlineStr">
        <is>
          <t>온라인 QR·우메다 안내소</t>
        </is>
      </c>
      <c r="E5" s="96" t="inlineStr">
        <is>
          <t>메트로 무제한 + 오사카성·시텐노지·도톤보리 리버크루즈·우메다스카이빌딩 등 무료</t>
        </is>
      </c>
      <c r="F5" s="123" t="inlineStr">
        <is>
          <t>☐</t>
        </is>
      </c>
    </row>
    <row r="6" ht="28" customHeight="1" s="27">
      <c r="A6" s="98" t="inlineStr">
        <is>
          <t>한큐 투어리스트 1일</t>
        </is>
      </c>
      <c r="B6" s="122" t="inlineStr">
        <is>
          <t>Day4 (6/24)</t>
        </is>
      </c>
      <c r="C6" s="113" t="n">
        <v>800</v>
      </c>
      <c r="D6" s="89" t="inlineStr">
        <is>
          <t>KIX·한큐 투어리스트센터</t>
        </is>
      </c>
      <c r="E6" s="91" t="inlineStr">
        <is>
          <t>우메다↔교토·아라시야마선</t>
        </is>
      </c>
      <c r="F6" s="122" t="inlineStr">
        <is>
          <t>☐</t>
        </is>
      </c>
    </row>
    <row r="7" ht="28" customHeight="1" s="27">
      <c r="A7" s="100" t="inlineStr">
        <is>
          <t>교토 지하철·버스 1일권</t>
        </is>
      </c>
      <c r="B7" s="123" t="inlineStr">
        <is>
          <t>Day4 (6/24)</t>
        </is>
      </c>
      <c r="C7" s="115" t="n">
        <v>1100</v>
      </c>
      <c r="D7" s="94" t="inlineStr">
        <is>
          <t>지하철역·KANSAI MaaS앱</t>
        </is>
      </c>
      <c r="E7" s="96" t="inlineStr">
        <is>
          <t>기요미즈·기온 버스 이동</t>
        </is>
      </c>
      <c r="F7" s="123" t="inlineStr">
        <is>
          <t>☐</t>
        </is>
      </c>
    </row>
    <row r="8">
      <c r="A8" s="73" t="inlineStr">
        <is>
          <t>추천 day-pass 합계 (예산 반영)</t>
        </is>
      </c>
      <c r="B8" s="33" t="n"/>
      <c r="C8" s="124">
        <f>SUM(C5:C7)</f>
        <v/>
      </c>
      <c r="D8" s="125" t="inlineStr">
        <is>
          <t>ICOCA 보증금500·충전액은 일정 요금에 포함되어 합계에서 제외</t>
        </is>
      </c>
      <c r="E8" s="31" t="n"/>
      <c r="F8" s="33" t="n"/>
    </row>
    <row r="9" ht="26" customHeight="1" s="27">
      <c r="A9" s="125" t="inlineStr">
        <is>
          <t>★ JR 간사이 에어리어 1일권 2,800엔 — Day3 후시미이나리+비와호(코세이선) 묶음에 추천. 후시미+코세이선 왕복 거의 커버(버스·로프웨이 별도) / 합계 미포함</t>
        </is>
      </c>
      <c r="B9" s="31" t="n"/>
      <c r="C9" s="31" t="n"/>
      <c r="D9" s="31" t="n"/>
      <c r="E9" s="31" t="n"/>
      <c r="F9" s="33" t="n"/>
    </row>
    <row r="10"/>
    <row r="11" ht="20" customHeight="1" s="27">
      <c r="A11" s="86" t="inlineStr">
        <is>
          <t>◆ 일자별 이동 + 사용 카드 / 패스</t>
        </is>
      </c>
      <c r="B11" s="31" t="n"/>
      <c r="C11" s="31" t="n"/>
      <c r="D11" s="31" t="n"/>
      <c r="E11" s="31" t="n"/>
      <c r="F11" s="33" t="n"/>
    </row>
    <row r="12" ht="20" customHeight="1" s="27">
      <c r="A12" s="85" t="inlineStr">
        <is>
          <t>날짜</t>
        </is>
      </c>
      <c r="B12" s="85" t="inlineStr">
        <is>
          <t>구간</t>
        </is>
      </c>
      <c r="C12" s="85" t="inlineStr">
        <is>
          <t>교통편</t>
        </is>
      </c>
      <c r="D12" s="85" t="inlineStr">
        <is>
          <t>요금(엔)</t>
        </is>
      </c>
      <c r="E12" s="85" t="inlineStr">
        <is>
          <t>사용 카드/패스</t>
        </is>
      </c>
      <c r="F12" s="85" t="inlineStr">
        <is>
          <t>소요</t>
        </is>
      </c>
    </row>
    <row r="13" ht="28" customHeight="1" s="27">
      <c r="A13" s="98" t="inlineStr">
        <is>
          <t>6/21 (일)</t>
        </is>
      </c>
      <c r="B13" s="88" t="inlineStr">
        <is>
          <t>KIX → 호스텔 오크 (후쿠시마)</t>
        </is>
      </c>
      <c r="C13" s="88" t="inlineStr">
        <is>
          <t>JR 간사이공항쾌속</t>
        </is>
      </c>
      <c r="D13" s="97" t="inlineStr">
        <is>
          <t>1,210</t>
        </is>
      </c>
      <c r="E13" s="88" t="inlineStr">
        <is>
          <t>현금/ICOCA</t>
        </is>
      </c>
      <c r="F13" s="122" t="inlineStr">
        <is>
          <t>~70분</t>
        </is>
      </c>
    </row>
    <row r="14" ht="28" customHeight="1" s="27">
      <c r="A14" s="100" t="inlineStr"/>
      <c r="B14" s="93" t="inlineStr">
        <is>
          <t>후쿠시마 ↔ 우메다 (차야마치·관광)</t>
        </is>
      </c>
      <c r="C14" s="93" t="inlineStr">
        <is>
          <t>도보 15분 / JR 1정거장</t>
        </is>
      </c>
      <c r="D14" s="99" t="inlineStr">
        <is>
          <t>0~160</t>
        </is>
      </c>
      <c r="E14" s="93" t="inlineStr">
        <is>
          <t>도보/ICOCA</t>
        </is>
      </c>
      <c r="F14" s="123" t="inlineStr">
        <is>
          <t>~15분</t>
        </is>
      </c>
    </row>
    <row r="15" ht="28" customHeight="1" s="27">
      <c r="A15" s="98" t="inlineStr">
        <is>
          <t>6/22 (월)</t>
        </is>
      </c>
      <c r="B15" s="88" t="inlineStr">
        <is>
          <t>오사카 시내 (오사카성·시텐노지·미나미·도톤보리)</t>
        </is>
      </c>
      <c r="C15" s="88" t="inlineStr">
        <is>
          <t>오사카 메트로</t>
        </is>
      </c>
      <c r="D15" s="97" t="inlineStr">
        <is>
          <t>패스</t>
        </is>
      </c>
      <c r="E15" s="88" t="inlineStr">
        <is>
          <t>★오사카 주유패스 1일권</t>
        </is>
      </c>
      <c r="F15" s="122" t="inlineStr">
        <is>
          <t>종일</t>
        </is>
      </c>
    </row>
    <row r="16" ht="28" customHeight="1" s="27">
      <c r="A16" s="100" t="inlineStr">
        <is>
          <t>6/23 (화)</t>
        </is>
      </c>
      <c r="B16" s="93" t="inlineStr">
        <is>
          <t>오사카(우메다) → 교토</t>
        </is>
      </c>
      <c r="C16" s="93" t="inlineStr">
        <is>
          <t>JR 신쾌속</t>
        </is>
      </c>
      <c r="D16" s="99" t="inlineStr">
        <is>
          <t>580</t>
        </is>
      </c>
      <c r="E16" s="93" t="inlineStr">
        <is>
          <t>ICOCA / ★JR패스</t>
        </is>
      </c>
      <c r="F16" s="123" t="inlineStr">
        <is>
          <t>~30분</t>
        </is>
      </c>
    </row>
    <row r="17" ht="28" customHeight="1" s="27">
      <c r="A17" s="98" t="inlineStr"/>
      <c r="B17" s="88" t="inlineStr">
        <is>
          <t>교토 → 후시미이나리</t>
        </is>
      </c>
      <c r="C17" s="88" t="inlineStr">
        <is>
          <t>JR 나라선 (이나리역)</t>
        </is>
      </c>
      <c r="D17" s="97" t="inlineStr">
        <is>
          <t>150</t>
        </is>
      </c>
      <c r="E17" s="88" t="inlineStr">
        <is>
          <t>ICOCA / ★JR 에어리어 패스</t>
        </is>
      </c>
      <c r="F17" s="122" t="inlineStr">
        <is>
          <t>~10분</t>
        </is>
      </c>
    </row>
    <row r="18" ht="28" customHeight="1" s="27">
      <c r="A18" s="100" t="inlineStr"/>
      <c r="B18" s="93" t="inlineStr">
        <is>
          <t>교토 → 시라히게(오미타카시마)</t>
        </is>
      </c>
      <c r="C18" s="93" t="inlineStr">
        <is>
          <t>JR 코세이선</t>
        </is>
      </c>
      <c r="D18" s="99" t="inlineStr">
        <is>
          <t>860</t>
        </is>
      </c>
      <c r="E18" s="93" t="inlineStr">
        <is>
          <t>ICOCA / ★JR 에어리어 패스</t>
        </is>
      </c>
      <c r="F18" s="123" t="inlineStr">
        <is>
          <t>~50분</t>
        </is>
      </c>
    </row>
    <row r="19" ht="28" customHeight="1" s="27">
      <c r="A19" s="98" t="inlineStr"/>
      <c r="B19" s="88" t="inlineStr">
        <is>
          <t>오미타카시마 → 비와코밸리(시가) → 교토</t>
        </is>
      </c>
      <c r="C19" s="88" t="inlineStr">
        <is>
          <t>코세이선+버스+로프웨이</t>
        </is>
      </c>
      <c r="D19" s="97" t="inlineStr">
        <is>
          <t>버스780+로프5,000</t>
        </is>
      </c>
      <c r="E19" s="88" t="inlineStr">
        <is>
          <t>버스·로프 별도현금</t>
        </is>
      </c>
      <c r="F19" s="122" t="inlineStr">
        <is>
          <t>종일</t>
        </is>
      </c>
    </row>
    <row r="20" ht="28" customHeight="1" s="27">
      <c r="A20" s="100" t="inlineStr">
        <is>
          <t>6/24 (수)</t>
        </is>
      </c>
      <c r="B20" s="93" t="inlineStr">
        <is>
          <t>가와라마치 → 아라시야마</t>
        </is>
      </c>
      <c r="C20" s="93" t="inlineStr">
        <is>
          <t>한큐 (가쓰라 환승)</t>
        </is>
      </c>
      <c r="D20" s="99" t="inlineStr">
        <is>
          <t>240</t>
        </is>
      </c>
      <c r="E20" s="93" t="inlineStr">
        <is>
          <t>★한큐 투어리스트 1일</t>
        </is>
      </c>
      <c r="F20" s="123" t="inlineStr">
        <is>
          <t>~30분</t>
        </is>
      </c>
    </row>
    <row r="21" ht="28" customHeight="1" s="27">
      <c r="A21" s="98" t="inlineStr"/>
      <c r="B21" s="88" t="inlineStr">
        <is>
          <t>아라시야마 → 기요미즈데라</t>
        </is>
      </c>
      <c r="C21" s="88" t="inlineStr">
        <is>
          <t>란덴 + 시버스</t>
        </is>
      </c>
      <c r="D21" s="97" t="inlineStr">
        <is>
          <t>460</t>
        </is>
      </c>
      <c r="E21" s="88" t="inlineStr">
        <is>
          <t>★교토 지하철·버스 1일권</t>
        </is>
      </c>
      <c r="F21" s="122" t="inlineStr">
        <is>
          <t>~50분</t>
        </is>
      </c>
    </row>
    <row r="22" ht="28" customHeight="1" s="27">
      <c r="A22" s="100" t="inlineStr"/>
      <c r="B22" s="93" t="inlineStr">
        <is>
          <t>기요미즈 → 기온 → 가와라마치</t>
        </is>
      </c>
      <c r="C22" s="93" t="inlineStr">
        <is>
          <t>시버스 / 도보</t>
        </is>
      </c>
      <c r="D22" s="99" t="inlineStr">
        <is>
          <t>패스</t>
        </is>
      </c>
      <c r="E22" s="93" t="inlineStr">
        <is>
          <t>교토 1일권</t>
        </is>
      </c>
      <c r="F22" s="123" t="inlineStr">
        <is>
          <t>-</t>
        </is>
      </c>
    </row>
    <row r="23" ht="28" customHeight="1" s="27">
      <c r="A23" s="98" t="inlineStr">
        <is>
          <t>6/25 (목)</t>
        </is>
      </c>
      <c r="B23" s="88" t="inlineStr">
        <is>
          <t>교토 → 산노미야 (고베)</t>
        </is>
      </c>
      <c r="C23" s="88" t="inlineStr">
        <is>
          <t>JR 신쾌속</t>
        </is>
      </c>
      <c r="D23" s="97" t="inlineStr">
        <is>
          <t>1,110</t>
        </is>
      </c>
      <c r="E23" s="88" t="inlineStr">
        <is>
          <t>ICOCA</t>
        </is>
      </c>
      <c r="F23" s="122" t="inlineStr">
        <is>
          <t>~50분</t>
        </is>
      </c>
    </row>
    <row r="24" ht="28" customHeight="1" s="27">
      <c r="A24" s="100" t="inlineStr"/>
      <c r="B24" s="93" t="inlineStr">
        <is>
          <t>고베 시내 (기타노·하버랜드)</t>
        </is>
      </c>
      <c r="C24" s="93" t="inlineStr">
        <is>
          <t>지하철 / 도보</t>
        </is>
      </c>
      <c r="D24" s="99" t="inlineStr">
        <is>
          <t>~300</t>
        </is>
      </c>
      <c r="E24" s="93" t="inlineStr">
        <is>
          <t>ICOCA</t>
        </is>
      </c>
      <c r="F24" s="123" t="inlineStr">
        <is>
          <t>-</t>
        </is>
      </c>
    </row>
    <row r="25" ht="28" customHeight="1" s="27">
      <c r="A25" s="98" t="inlineStr">
        <is>
          <t>6/26 (금)</t>
        </is>
      </c>
      <c r="B25" s="88" t="inlineStr">
        <is>
          <t>산노미야 → 난바 (오사카)</t>
        </is>
      </c>
      <c r="C25" s="88" t="inlineStr">
        <is>
          <t>한신 본선 (난바선)</t>
        </is>
      </c>
      <c r="D25" s="97" t="inlineStr">
        <is>
          <t>410</t>
        </is>
      </c>
      <c r="E25" s="88" t="inlineStr">
        <is>
          <t>ICOCA</t>
        </is>
      </c>
      <c r="F25" s="122" t="inlineStr">
        <is>
          <t>~40분</t>
        </is>
      </c>
    </row>
    <row r="26" ht="28" customHeight="1" s="27">
      <c r="A26" s="100" t="inlineStr"/>
      <c r="B26" s="93" t="inlineStr">
        <is>
          <t>난바·신세카이·미나미 시내</t>
        </is>
      </c>
      <c r="C26" s="93" t="inlineStr">
        <is>
          <t>오사카 메트로</t>
        </is>
      </c>
      <c r="D26" s="99" t="inlineStr">
        <is>
          <t>820</t>
        </is>
      </c>
      <c r="E26" s="93" t="inlineStr">
        <is>
          <t>Enjoy Eco Card(평일820) 또는 ICOCA</t>
        </is>
      </c>
      <c r="F26" s="123" t="inlineStr">
        <is>
          <t>종일</t>
        </is>
      </c>
    </row>
    <row r="27" ht="28" customHeight="1" s="27">
      <c r="A27" s="98" t="inlineStr">
        <is>
          <t>6/27 (토)</t>
        </is>
      </c>
      <c r="B27" s="88" t="inlineStr">
        <is>
          <t>난바 → KIX</t>
        </is>
      </c>
      <c r="C27" s="88" t="inlineStr">
        <is>
          <t>난카이 공항급행</t>
        </is>
      </c>
      <c r="D27" s="97" t="inlineStr">
        <is>
          <t>970</t>
        </is>
      </c>
      <c r="E27" s="88" t="inlineStr">
        <is>
          <t>ICOCA</t>
        </is>
      </c>
      <c r="F27" s="122" t="inlineStr">
        <is>
          <t>~45분</t>
        </is>
      </c>
    </row>
    <row r="28" ht="30" customHeight="1" s="27">
      <c r="A28" s="125" t="inlineStr">
        <is>
          <t>※ ★ = 그 날 추천 패스. 나머지 구간은 모두 ICOCA로 결제. 요금은 편도·성인 기준 개략값. 공항은 난카이 공항급행(970) 가성비 최고.</t>
        </is>
      </c>
      <c r="B28" s="31" t="n"/>
      <c r="C28" s="31" t="n"/>
      <c r="D28" s="31" t="n"/>
      <c r="E28" s="31" t="n"/>
      <c r="F28" s="33" t="n"/>
    </row>
    <row r="29"/>
    <row r="30" ht="20" customHeight="1" s="27">
      <c r="A30" s="86" t="inlineStr">
        <is>
          <t>◆ 교통비 요약 (1인, 대략)</t>
        </is>
      </c>
      <c r="B30" s="31" t="n"/>
      <c r="C30" s="31" t="n"/>
      <c r="D30" s="31" t="n"/>
      <c r="E30" s="31" t="n"/>
      <c r="F30" s="33" t="n"/>
    </row>
    <row r="31" ht="20" customHeight="1" s="27">
      <c r="A31" s="126" t="inlineStr">
        <is>
          <t>ICOCA 실비 (패스 외 전 구간)</t>
        </is>
      </c>
      <c r="B31" s="31" t="n"/>
      <c r="C31" s="31" t="n"/>
      <c r="D31" s="33" t="n"/>
      <c r="E31" s="127" t="inlineStr">
        <is>
          <t>약 7,500엔 (Day1·3·5·6·7)</t>
        </is>
      </c>
      <c r="F31" s="33" t="n"/>
    </row>
    <row r="32" ht="20" customHeight="1" s="27">
      <c r="A32" s="126" t="inlineStr">
        <is>
          <t>추천 패스 (주유 Day2 + 한큐·교토 Day4)</t>
        </is>
      </c>
      <c r="B32" s="31" t="n"/>
      <c r="C32" s="31" t="n"/>
      <c r="D32" s="33" t="n"/>
      <c r="E32" s="127" t="inlineStr">
        <is>
          <t>5,400엔</t>
        </is>
      </c>
      <c r="F32" s="33" t="n"/>
    </row>
    <row r="33" ht="22" customHeight="1" s="27">
      <c r="A33" s="128" t="inlineStr">
        <is>
          <t>교통비 합계</t>
        </is>
      </c>
      <c r="B33" s="31" t="n"/>
      <c r="C33" s="31" t="n"/>
      <c r="D33" s="33" t="n"/>
      <c r="E33" s="129" t="inlineStr">
        <is>
          <t>약 12,900엔 + 비와호 로프웨이 ¥5,000 별도 (총 ≈165,000원)</t>
        </is>
      </c>
      <c r="F33" s="33" t="n"/>
    </row>
  </sheetData>
  <mergeCells count="14">
    <mergeCell ref="A2:F2"/>
    <mergeCell ref="A11:F11"/>
    <mergeCell ref="A30:F30"/>
    <mergeCell ref="A28:F28"/>
    <mergeCell ref="A31:D31"/>
    <mergeCell ref="E32:F32"/>
    <mergeCell ref="A32:D32"/>
    <mergeCell ref="A1:F1"/>
    <mergeCell ref="E33:F33"/>
    <mergeCell ref="A9:F9"/>
    <mergeCell ref="A33:D33"/>
    <mergeCell ref="D8:F8"/>
    <mergeCell ref="A8:B8"/>
    <mergeCell ref="E31:F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6" customWidth="1" style="27" min="1" max="1"/>
    <col width="20" customWidth="1" style="27" min="2" max="2"/>
    <col width="30" customWidth="1" style="27" min="3" max="3"/>
    <col width="22" customWidth="1" style="27" min="4" max="4"/>
    <col width="26" customWidth="1" style="27" min="5" max="5"/>
    <col width="40" customWidth="1" style="27" min="6" max="6"/>
  </cols>
  <sheetData>
    <row r="1" ht="30" customHeight="1" s="27">
      <c r="A1" s="68" t="inlineStr">
        <is>
          <t>🚆  교통패스 비교 · 추천 (2026.6 기준)</t>
        </is>
      </c>
    </row>
    <row r="2">
      <c r="A2" s="84" t="inlineStr">
        <is>
          <t>★추천 / △조건부 / ✕비권장  ·  ICOCA를 베이스로 깔고 본전 확실한 날만 1일권을 얹는 조합이 솔로에 최적  ·  광역 단일패스(스루패스Lite·JR와이드·긴테쓰)는 이 도시중심 일정엔 손해  ·  가격 변동 가능, 구매 직전 공식 확인  ·  패스명을 클릭하면 공식 페이지로 이동</t>
        </is>
      </c>
    </row>
    <row r="3" ht="20" customHeight="1" s="27">
      <c r="A3" s="86" t="inlineStr">
        <is>
          <t>◆ 패스 / 카드 종합 비교</t>
        </is>
      </c>
      <c r="B3" s="31" t="n"/>
      <c r="C3" s="31" t="n"/>
      <c r="D3" s="31" t="n"/>
      <c r="E3" s="31" t="n"/>
      <c r="F3" s="33" t="n"/>
    </row>
    <row r="4" ht="20" customHeight="1" s="27">
      <c r="A4" s="85" t="inlineStr">
        <is>
          <t>패스 / 카드</t>
        </is>
      </c>
      <c r="B4" s="85" t="inlineStr">
        <is>
          <t>가격 (엔, 2026)</t>
        </is>
      </c>
      <c r="C4" s="85" t="inlineStr">
        <is>
          <t>유효 구간 / 기간</t>
        </is>
      </c>
      <c r="D4" s="85" t="inlineStr">
        <is>
          <t>구매처</t>
        </is>
      </c>
      <c r="E4" s="85" t="inlineStr">
        <is>
          <t>이 일정 활용 · 추천</t>
        </is>
      </c>
      <c r="F4" s="85" t="inlineStr">
        <is>
          <t>메모 / 주의</t>
        </is>
      </c>
    </row>
    <row r="5" ht="34" customHeight="1" s="27">
      <c r="A5" s="117" t="inlineStr">
        <is>
          <t>ICOCA (충전식 IC)</t>
        </is>
      </c>
      <c r="B5" s="89" t="inlineStr">
        <is>
          <t>2,000 (충전1,500+보증금500)</t>
        </is>
      </c>
      <c r="C5" s="89" t="inlineStr">
        <is>
          <t>JR·지하철·전 사철·버스 전국 호환, 충전식</t>
        </is>
      </c>
      <c r="D5" s="89" t="inlineStr">
        <is>
          <t>KIX JR창구·역 / iPhone Apple Wallet</t>
        </is>
      </c>
      <c r="E5" s="89" t="inlineStr">
        <is>
          <t>★ 전 일정 베이스 카드</t>
        </is>
      </c>
      <c r="F5" s="91" t="inlineStr">
        <is>
          <t>보증금 환불가(수수료220). 안드로이드 해외폰 비권장. 현금충전</t>
        </is>
      </c>
    </row>
    <row r="6" ht="34" customHeight="1" s="27">
      <c r="A6" s="118" t="inlineStr">
        <is>
          <t>Kansai Railway Pass Lite (구 스루패스)</t>
        </is>
      </c>
      <c r="B6" s="94" t="inlineStr">
        <is>
          <t>2일 5,200 / 3일 6,500</t>
        </is>
      </c>
      <c r="C6" s="94" t="inlineStr">
        <is>
          <t>간사이 사철+오사카·고베 지하철. JR·교토 지하철/버스·란덴 제외. 4/1~10/2만</t>
        </is>
      </c>
      <c r="D6" s="94" t="inlineStr">
        <is>
          <t>온라인 QR(KLOOK 등), 공항 실물 없음</t>
        </is>
      </c>
      <c r="E6" s="94" t="inlineStr">
        <is>
          <t>△ 교토 지하철·버스·JR 제외라 비효율</t>
        </is>
      </c>
      <c r="F6" s="96" t="inlineStr">
        <is>
          <t>구 스루패스(5,600·버스가능)의 축소판. 옛 정보 주의</t>
        </is>
      </c>
    </row>
    <row r="7" ht="34" customHeight="1" s="27">
      <c r="A7" s="117" t="inlineStr">
        <is>
          <t>오사카 주유패스 1일권</t>
        </is>
      </c>
      <c r="B7" s="89" t="inlineStr">
        <is>
          <t>3,500 (공항판 3,800)</t>
        </is>
      </c>
      <c r="C7" s="89" t="inlineStr">
        <is>
          <t>오사카 메트로·버스 무제한 + 약40개 시설 무료(오사카성·우메다스카이빌딩·덴포잔관람차·쓰텐카쿠 등)</t>
        </is>
      </c>
      <c r="D7" s="89" t="inlineStr">
        <is>
          <t>온라인 QR / KIX·우메다 안내소</t>
        </is>
      </c>
      <c r="E7" s="89" t="inlineStr">
        <is>
          <t>★ Day2 강력추천</t>
        </is>
      </c>
      <c r="F7" s="91" t="inlineStr">
        <is>
          <t>가이유칸은 무료 아님(¥500 할인). 실물카드 폐지→QR</t>
        </is>
      </c>
    </row>
    <row r="8" ht="34" customHeight="1" s="27">
      <c r="A8" s="118" t="inlineStr">
        <is>
          <t>오사카 주유패스 2일권</t>
        </is>
      </c>
      <c r="B8" s="94" t="inlineStr">
        <is>
          <t>5,000</t>
        </is>
      </c>
      <c r="C8" s="94" t="inlineStr">
        <is>
          <t>메트로·버스만(사철 제외), 연속 2일</t>
        </is>
      </c>
      <c r="D8" s="94" t="inlineStr">
        <is>
          <t>위와 동일</t>
        </is>
      </c>
      <c r="E8" s="94" t="inlineStr">
        <is>
          <t>△ Day2 단독이면 1일권이 유리</t>
        </is>
      </c>
      <c r="F8" s="96" t="inlineStr">
        <is>
          <t>2일 연속 오사카 관광 아니면 불필요</t>
        </is>
      </c>
    </row>
    <row r="9" ht="34" customHeight="1" s="27">
      <c r="A9" s="117" t="inlineStr">
        <is>
          <t>JR 간사이 에어리어 패스</t>
        </is>
      </c>
      <c r="B9" s="89" t="inlineStr">
        <is>
          <t>1일 2,800 / 2일 4,800 / 3일 5,800 / 4일 7,000</t>
        </is>
      </c>
      <c r="C9" s="89" t="inlineStr">
        <is>
          <t>JR서일본 재래선(오사카·교토·고베·나라·히메지), 하루카 포함(지정석 2회)</t>
        </is>
      </c>
      <c r="D9" s="89" t="inlineStr">
        <is>
          <t>JR서일본 온라인 예약→역 교환</t>
        </is>
      </c>
      <c r="E9" s="89" t="inlineStr">
        <is>
          <t>★ Day3 또는 Day5 추천</t>
        </is>
      </c>
      <c r="F9" s="91" t="inlineStr">
        <is>
          <t>외국인(Temporary Visitor) 전용. 신칸센 제외</t>
        </is>
      </c>
    </row>
    <row r="10" ht="34" customHeight="1" s="27">
      <c r="A10" s="118" t="inlineStr">
        <is>
          <t>JR 간사이 와이드 패스</t>
        </is>
      </c>
      <c r="B10" s="94" t="inlineStr">
        <is>
          <t>5일 12,000</t>
        </is>
      </c>
      <c r="C10" s="94" t="inlineStr">
        <is>
          <t>위 + 오카야마·산요신칸센·해안특급</t>
        </is>
      </c>
      <c r="D10" s="94" t="inlineStr">
        <is>
          <t>위와 동일</t>
        </is>
      </c>
      <c r="E10" s="94" t="inlineStr">
        <is>
          <t>✕ 도시중심 일정엔 과잉</t>
        </is>
      </c>
      <c r="F10" s="96" t="inlineStr">
        <is>
          <t>외국인 전용</t>
        </is>
      </c>
    </row>
    <row r="11" ht="34" customHeight="1" s="27">
      <c r="A11" s="117" t="inlineStr">
        <is>
          <t>한큐 투어리스트 패스</t>
        </is>
      </c>
      <c r="B11" s="89" t="inlineStr">
        <is>
          <t>1일 800 / 2일 1,400</t>
        </is>
      </c>
      <c r="C11" s="89" t="inlineStr">
        <is>
          <t>한큐 전선(우메다↔교토↔고베)·아라시야마선. 고베고속 제외</t>
        </is>
      </c>
      <c r="D11" s="89" t="inlineStr">
        <is>
          <t>KIX·한큐센터·KLOOK</t>
        </is>
      </c>
      <c r="E11" s="89" t="inlineStr">
        <is>
          <t>★ Day4·한큐 이동시 추천</t>
        </is>
      </c>
      <c r="F11" s="91" t="inlineStr">
        <is>
          <t>별도 'One-Day Pass'(¥1,300)와 혼동 주의</t>
        </is>
      </c>
    </row>
    <row r="12" ht="34" customHeight="1" s="27">
      <c r="A12" s="118" t="inlineStr">
        <is>
          <t>한신 투어리스트 패스</t>
        </is>
      </c>
      <c r="B12" s="94" t="inlineStr">
        <is>
          <t>1일 700</t>
        </is>
      </c>
      <c r="C12" s="94" t="inlineStr">
        <is>
          <t>한신 전선(우메다↔고베산노미야·난바·고시엔)</t>
        </is>
      </c>
      <c r="D12" s="94" t="inlineStr">
        <is>
          <t>KIX 안내소·오사카 다수</t>
        </is>
      </c>
      <c r="E12" s="94" t="inlineStr">
        <is>
          <t>△ 고베 편도 1회면 본전 애매, ICOCA로 충분</t>
        </is>
      </c>
      <c r="F12" s="96" t="inlineStr">
        <is>
          <t>구 500서 인상. 구매 시 가격 재확인(확인 필요)</t>
        </is>
      </c>
    </row>
    <row r="13" ht="34" customHeight="1" s="27">
      <c r="A13" s="117" t="inlineStr">
        <is>
          <t>긴테쓰 레일패스</t>
        </is>
      </c>
      <c r="B13" s="89" t="inlineStr">
        <is>
          <t>1일 1,900 / 2일 3,700 / 5일 4,900 / 5일Plus 6,700</t>
        </is>
      </c>
      <c r="C13" s="89" t="inlineStr">
        <is>
          <t>긴테쓰 오사카·나라·교토(1·2일), 5일권은 이세·나고야까지</t>
        </is>
      </c>
      <c r="D13" s="89" t="inlineStr">
        <is>
          <t>공식 온라인 QR·역 창구</t>
        </is>
      </c>
      <c r="E13" s="89" t="inlineStr">
        <is>
          <t>✕ 교토↔나라엔 본전 미달 / ★이세行엔 유용</t>
        </is>
      </c>
      <c r="F13" s="91" t="inlineStr">
        <is>
          <t>이세·후타미 당일치기 검토 시 1·2일권 비교</t>
        </is>
      </c>
    </row>
    <row r="14" ht="34" customHeight="1" s="27">
      <c r="A14" s="118" t="inlineStr">
        <is>
          <t>교토 지하철·버스 1일권</t>
        </is>
      </c>
      <c r="B14" s="94" t="inlineStr">
        <is>
          <t>1,100 (지하철전용 800)</t>
        </is>
      </c>
      <c r="C14" s="94" t="inlineStr">
        <is>
          <t>교토 시영지하철+시버스+일부 버스, 1일</t>
        </is>
      </c>
      <c r="D14" s="94" t="inlineStr">
        <is>
          <t>지하철역·안내소·KANSAI MaaS 앱</t>
        </is>
      </c>
      <c r="E14" s="94" t="inlineStr">
        <is>
          <t>★ Day4(기요미즈·기온 버스) 추천</t>
        </is>
      </c>
      <c r="F14" s="96" t="inlineStr">
        <is>
          <t>버스전용 1일권은 폐지(2023.9)</t>
        </is>
      </c>
    </row>
    <row r="15" ht="34" customHeight="1" s="27">
      <c r="A15" s="117" t="inlineStr">
        <is>
          <t>게이한 교토·오사카 관광패스</t>
        </is>
      </c>
      <c r="B15" s="89" t="inlineStr">
        <is>
          <t>1일 1,650 / 24h 1,850</t>
        </is>
      </c>
      <c r="C15" s="89" t="inlineStr">
        <is>
          <t>게이한 전선(후시미이나리·기온·기요미즈 접근)</t>
        </is>
      </c>
      <c r="D15" s="89" t="inlineStr">
        <is>
          <t>디지털 QR / 일부 역·공항</t>
        </is>
      </c>
      <c r="E15" s="89" t="inlineStr">
        <is>
          <t>△ JR이 더 저렴</t>
        </is>
      </c>
      <c r="F15" s="91" t="inlineStr">
        <is>
          <t>2일권 폐지. 옛 가격(700/1,000) 주의</t>
        </is>
      </c>
    </row>
    <row r="16" ht="34" customHeight="1" s="27">
      <c r="A16" s="118" t="inlineStr">
        <is>
          <t>Yokoso! Osaka Ticket</t>
        </is>
      </c>
      <c r="B16" s="94" t="inlineStr">
        <is>
          <t>(구 1,530~1,690) 2026 판매중단 추정</t>
        </is>
      </c>
      <c r="C16" s="94" t="inlineStr">
        <is>
          <t>라피트 편도 + 메트로 1일권</t>
        </is>
      </c>
      <c r="D16" s="94" t="inlineStr">
        <is>
          <t>(구) 난카이 공항역</t>
        </is>
      </c>
      <c r="E16" s="94" t="inlineStr">
        <is>
          <t>✕ 사실상 폐지(확인 필요)</t>
        </is>
      </c>
      <c r="F16" s="96" t="inlineStr">
        <is>
          <t>대체: 공항급행 + Enjoy Eco Card 별도 구매</t>
        </is>
      </c>
    </row>
    <row r="17" ht="34" customHeight="1" s="27">
      <c r="A17" s="117" t="inlineStr">
        <is>
          <t>메트로 Enjoy Eco Card 1일</t>
        </is>
      </c>
      <c r="B17" s="89" t="inlineStr">
        <is>
          <t>평일 820 / 주말·공휴일 620</t>
        </is>
      </c>
      <c r="C17" s="89" t="inlineStr">
        <is>
          <t>오사카 메트로·버스 무제한 1일, 시설 할인</t>
        </is>
      </c>
      <c r="D17" s="89" t="inlineStr">
        <is>
          <t>메트로 역 발매기</t>
        </is>
      </c>
      <c r="E17" s="89" t="inlineStr">
        <is>
          <t>★ Day6(신세카이·미나미) 추천</t>
        </is>
      </c>
      <c r="F17" s="91" t="inlineStr">
        <is>
          <t>신세카이·미나미 메트로 여러 번이면 ICOCA 개별보다 유리</t>
        </is>
      </c>
    </row>
    <row r="18" ht="34" customHeight="1" s="27">
      <c r="A18" s="118" t="inlineStr">
        <is>
          <t>메트로 2일권(투어리스트)</t>
        </is>
      </c>
      <c r="B18" s="94" t="inlineStr">
        <is>
          <t>약 5,500</t>
        </is>
      </c>
      <c r="C18" s="94" t="inlineStr">
        <is>
          <t>메트로·버스만, 연속 2일</t>
        </is>
      </c>
      <c r="D18" s="94" t="inlineStr">
        <is>
          <t>온라인·발매기</t>
        </is>
      </c>
      <c r="E18" s="94" t="inlineStr">
        <is>
          <t>✕ 820×2(=1,640)보다 비쌈</t>
        </is>
      </c>
      <c r="F18" s="96" t="inlineStr">
        <is>
          <t>비권장</t>
        </is>
      </c>
    </row>
    <row r="20" ht="20" customHeight="1" s="27">
      <c r="A20" s="86" t="inlineStr">
        <is>
          <t>◆ 공항 이동 (KIX ↔ 난바 / 우메다)</t>
        </is>
      </c>
      <c r="B20" s="31" t="n"/>
      <c r="C20" s="31" t="n"/>
      <c r="D20" s="31" t="n"/>
      <c r="E20" s="31" t="n"/>
      <c r="F20" s="33" t="n"/>
    </row>
    <row r="21">
      <c r="A21" s="73" t="inlineStr">
        <is>
          <t>옵션</t>
        </is>
      </c>
      <c r="B21" s="73" t="inlineStr">
        <is>
          <t>가격 (엔)</t>
        </is>
      </c>
      <c r="C21" s="73" t="inlineStr">
        <is>
          <t>소요시간</t>
        </is>
      </c>
      <c r="D21" s="73" t="inlineStr">
        <is>
          <t>메모 / 추천</t>
        </is>
      </c>
      <c r="E21" s="31" t="n"/>
      <c r="F21" s="33" t="n"/>
    </row>
    <row r="22" ht="24" customHeight="1" s="27">
      <c r="A22" s="101" t="inlineStr">
        <is>
          <t>난카이 공항급행 (무료등급)</t>
        </is>
      </c>
      <c r="B22" s="102" t="inlineStr">
        <is>
          <t>970</t>
        </is>
      </c>
      <c r="C22" s="102" t="inlineStr">
        <is>
          <t>~44~50분</t>
        </is>
      </c>
      <c r="D22" s="91" t="inlineStr">
        <is>
          <t>★ Day1·Day7 최가성비, 자유석 (숙소 난바 기준)</t>
        </is>
      </c>
      <c r="E22" s="31" t="n"/>
      <c r="F22" s="33" t="n"/>
    </row>
    <row r="23" ht="24" customHeight="1" s="27">
      <c r="A23" s="104" t="inlineStr">
        <is>
          <t>난카이 라피트 (일반석)</t>
        </is>
      </c>
      <c r="B23" s="105" t="inlineStr">
        <is>
          <t>레귤러 1,490 / 슈퍼 1,700</t>
        </is>
      </c>
      <c r="C23" s="105" t="inlineStr">
        <is>
          <t>~34~38분</t>
        </is>
      </c>
      <c r="D23" s="96" t="inlineStr">
        <is>
          <t>△ 빠르고 좌석지정. 기본970+특급520(레귤러)/730(슈퍼). 웹전용 Kanku Web Toku 할인 약1,190</t>
        </is>
      </c>
      <c r="E23" s="31" t="n"/>
      <c r="F23" s="33" t="n"/>
    </row>
    <row r="24" ht="24" customHeight="1" s="27">
      <c r="A24" s="101" t="inlineStr">
        <is>
          <t>JR 간사이공항쾌속 → 오사카(우메다)</t>
        </is>
      </c>
      <c r="B24" s="102" t="inlineStr">
        <is>
          <t>약 1,180 (확인)</t>
        </is>
      </c>
      <c r="C24" s="102" t="inlineStr">
        <is>
          <t>~65~71분</t>
        </is>
      </c>
      <c r="D24" s="91" t="inlineStr">
        <is>
          <t>우메다 직행. JR, 환승 적음</t>
        </is>
      </c>
      <c r="E24" s="31" t="n"/>
      <c r="F24" s="33" t="n"/>
    </row>
    <row r="25" ht="24" customHeight="1" s="27">
      <c r="A25" s="104" t="inlineStr">
        <is>
          <t>하루카 할인 편도(외국인) → 신오사카/오사카</t>
        </is>
      </c>
      <c r="B25" s="105" t="inlineStr">
        <is>
          <t>1,800</t>
        </is>
      </c>
      <c r="C25" s="105" t="inlineStr">
        <is>
          <t>빠름</t>
        </is>
      </c>
      <c r="D25" s="96" t="inlineStr">
        <is>
          <t>출국 전/온라인 구매(일본 내 구매 불가)</t>
        </is>
      </c>
      <c r="E25" s="31" t="n"/>
      <c r="F25" s="33" t="n"/>
    </row>
    <row r="26" ht="24" customHeight="1" s="27">
      <c r="A26" s="101" t="inlineStr">
        <is>
          <t>공항 리무진버스 → 우메다</t>
        </is>
      </c>
      <c r="B26" s="102" t="inlineStr">
        <is>
          <t>1,800</t>
        </is>
      </c>
      <c r="C26" s="102" t="inlineStr">
        <is>
          <t>~60분</t>
        </is>
      </c>
      <c r="D26" s="91" t="inlineStr">
        <is>
          <t>환승 없이 짐 편함 (구 1,600서 인상)</t>
        </is>
      </c>
      <c r="E26" s="31" t="n"/>
      <c r="F26" s="33" t="n"/>
    </row>
    <row r="28" ht="20" customHeight="1" s="27">
      <c r="A28" s="86" t="inlineStr">
        <is>
          <t>◆ 일정별 추천 조합 (ICOCA 베이스 + 본전 확실한 날만 1일권)</t>
        </is>
      </c>
      <c r="B28" s="31" t="n"/>
      <c r="C28" s="31" t="n"/>
      <c r="D28" s="31" t="n"/>
      <c r="E28" s="31" t="n"/>
      <c r="F28" s="33" t="n"/>
    </row>
    <row r="29">
      <c r="A29" s="73" t="inlineStr">
        <is>
          <t>Day</t>
        </is>
      </c>
      <c r="B29" s="73" t="inlineStr">
        <is>
          <t>구간</t>
        </is>
      </c>
      <c r="C29" s="73" t="inlineStr">
        <is>
          <t>추천 수단</t>
        </is>
      </c>
      <c r="D29" s="31" t="n"/>
      <c r="E29" s="33" t="n"/>
      <c r="F29" s="73" t="inlineStr">
        <is>
          <t>예상 교통비(엔)</t>
        </is>
      </c>
    </row>
    <row r="30" ht="30" customHeight="1" s="27">
      <c r="A30" s="87" t="inlineStr">
        <is>
          <t>Day1 6/21</t>
        </is>
      </c>
      <c r="B30" s="89" t="inlineStr">
        <is>
          <t>KIX → 우메다/난바</t>
        </is>
      </c>
      <c r="C30" s="89" t="inlineStr">
        <is>
          <t>숙소 난바=난카이 공항급행 970 / 우메다=JR쾌속 1,180 또는 리무진 1,800</t>
        </is>
      </c>
      <c r="D30" s="31" t="n"/>
      <c r="E30" s="33" t="n"/>
      <c r="F30" s="102" t="inlineStr">
        <is>
          <t>970~1,180</t>
        </is>
      </c>
    </row>
    <row r="31" ht="30" customHeight="1" s="27">
      <c r="A31" s="92" t="inlineStr">
        <is>
          <t>Day2 6/22</t>
        </is>
      </c>
      <c r="B31" s="94" t="inlineStr">
        <is>
          <t>오사카 시내(성·신사이바시·난바·덴덴타운)</t>
        </is>
      </c>
      <c r="C31" s="94" t="inlineStr">
        <is>
          <t>★ 오사카 주유패스 1일권</t>
        </is>
      </c>
      <c r="D31" s="31" t="n"/>
      <c r="E31" s="33" t="n"/>
      <c r="F31" s="105" t="inlineStr">
        <is>
          <t>3,500</t>
        </is>
      </c>
    </row>
    <row r="32" ht="30" customHeight="1" s="27">
      <c r="A32" s="87" t="inlineStr">
        <is>
          <t>Day3 6/23</t>
        </is>
      </c>
      <c r="B32" s="89" t="inlineStr">
        <is>
          <t>오사카→교토↔후시미이나리↔비와호(시라히게·테라스)</t>
        </is>
      </c>
      <c r="C32" s="89" t="inlineStr">
        <is>
          <t>★ JR 간사이 에어리어 패스 1일권(코세이선·후시미 커버) + 로프웨이¥5,000 별도</t>
        </is>
      </c>
      <c r="D32" s="31" t="n"/>
      <c r="E32" s="33" t="n"/>
      <c r="F32" s="102" t="inlineStr">
        <is>
          <t>2,800+α</t>
        </is>
      </c>
    </row>
    <row r="33" ht="30" customHeight="1" s="27">
      <c r="A33" s="92" t="inlineStr">
        <is>
          <t>Day4 6/24</t>
        </is>
      </c>
      <c r="B33" s="94" t="inlineStr">
        <is>
          <t>교토(아라시야마↔기요미즈·기온)</t>
        </is>
      </c>
      <c r="C33" s="94" t="inlineStr">
        <is>
          <t>★ 한큐 투어리스트 1일 800 + 교토 지하철·버스 1일권 1,100</t>
        </is>
      </c>
      <c r="D33" s="31" t="n"/>
      <c r="E33" s="33" t="n"/>
      <c r="F33" s="105" t="inlineStr">
        <is>
          <t>1,900</t>
        </is>
      </c>
    </row>
    <row r="34" ht="30" customHeight="1" s="27">
      <c r="A34" s="87" t="inlineStr">
        <is>
          <t>Day5 6/25</t>
        </is>
      </c>
      <c r="B34" s="89" t="inlineStr">
        <is>
          <t>교토→고베 산노미야 + 고베</t>
        </is>
      </c>
      <c r="C34" s="89" t="inlineStr">
        <is>
          <t>ICOCA (JR 신쾌속 1,110 + 시내 소액)</t>
        </is>
      </c>
      <c r="D34" s="31" t="n"/>
      <c r="E34" s="33" t="n"/>
      <c r="F34" s="102" t="inlineStr">
        <is>
          <t>약 1,400</t>
        </is>
      </c>
    </row>
    <row r="35" ht="30" customHeight="1" s="27">
      <c r="A35" s="92" t="inlineStr">
        <is>
          <t>Day6 6/26</t>
        </is>
      </c>
      <c r="B35" s="94" t="inlineStr">
        <is>
          <t>고베→난바, 신세카이·쿠로몬·미나미</t>
        </is>
      </c>
      <c r="C35" s="94" t="inlineStr">
        <is>
          <t>ICOCA (고베→오사카 ~420~590) + 메트로 Enjoy Eco Card 820</t>
        </is>
      </c>
      <c r="D35" s="31" t="n"/>
      <c r="E35" s="33" t="n"/>
      <c r="F35" s="105" t="inlineStr">
        <is>
          <t>약 1,300</t>
        </is>
      </c>
    </row>
    <row r="36" ht="30" customHeight="1" s="27">
      <c r="A36" s="87" t="inlineStr">
        <is>
          <t>Day7 6/27</t>
        </is>
      </c>
      <c r="B36" s="89" t="inlineStr">
        <is>
          <t>난바 → KIX</t>
        </is>
      </c>
      <c r="C36" s="89" t="inlineStr">
        <is>
          <t>난카이 공항급행 970</t>
        </is>
      </c>
      <c r="D36" s="31" t="n"/>
      <c r="E36" s="33" t="n"/>
      <c r="F36" s="102" t="inlineStr">
        <is>
          <t>970</t>
        </is>
      </c>
    </row>
    <row r="37">
      <c r="A37" s="73" t="inlineStr">
        <is>
          <t>추천 조합 총 교통비 (대략)</t>
        </is>
      </c>
      <c r="B37" s="31" t="n"/>
      <c r="C37" s="31" t="n"/>
      <c r="D37" s="31" t="n"/>
      <c r="E37" s="33" t="n"/>
      <c r="F37" s="109" t="inlineStr">
        <is>
          <t>약 12,700~13,000 + 비와호 버스·로프웨이 ¥5,780</t>
        </is>
      </c>
    </row>
    <row r="39" ht="20" customHeight="1" s="27">
      <c r="A39" s="86" t="inlineStr">
        <is>
          <t>◆ 핵심 결론</t>
        </is>
      </c>
      <c r="B39" s="31" t="n"/>
      <c r="C39" s="31" t="n"/>
      <c r="D39" s="31" t="n"/>
      <c r="E39" s="31" t="n"/>
      <c r="F39" s="33" t="n"/>
    </row>
    <row r="40" ht="30" customHeight="1" s="27">
      <c r="A40" s="84" t="inlineStr">
        <is>
          <t>• 핵심 절약: Day2 오사카 주유패스로 오사카성·우메다 스카이빌딩·대관람차 입장료만 ¥3,400 회수 → 교통이 사실상 공짜 + 흑자. Day4는 한큐 800 + 교토 1일권 1,100 조합.</t>
        </is>
      </c>
    </row>
    <row r="41" ht="30" customHeight="1" s="27">
      <c r="A41" s="84" t="inlineStr">
        <is>
          <t>• 나머지 날(Day1·5·6·7)은 ICOCA 개별 결제가 가장 깔끔. Day3(비와호)은 발권 번거로우면 ICOCA 개별승차(~¥2,580·코세이선 포함)로 대체 가능.</t>
        </is>
      </c>
    </row>
    <row r="42" ht="30" customHeight="1" s="27">
      <c r="A42" s="84" t="inlineStr">
        <is>
          <t>• 공항은 난카이 공항급행 ¥970이 최강 가성비. 라피트·Yokoso! Osaka Ticket은 불필요(Yokoso는 2026 사실상 폐지로 보임).</t>
        </is>
      </c>
    </row>
    <row r="43" ht="30" customHeight="1" s="27">
      <c r="A43" s="84" t="inlineStr">
        <is>
          <t>• ⚠ 구매 직전 확인: JR KIX→오사카 운임(¥1,180), 라피트 합계요금, 한신 패스 가격, Yokoso 티켓 판매 여부.</t>
        </is>
      </c>
    </row>
  </sheetData>
  <mergeCells count="25">
    <mergeCell ref="A41:F41"/>
    <mergeCell ref="C31:E31"/>
    <mergeCell ref="A3:F3"/>
    <mergeCell ref="A2:F2"/>
    <mergeCell ref="C36:E36"/>
    <mergeCell ref="A42:F42"/>
    <mergeCell ref="A37:E37"/>
    <mergeCell ref="A20:F20"/>
    <mergeCell ref="D25:F25"/>
    <mergeCell ref="C32:E32"/>
    <mergeCell ref="D24:F24"/>
    <mergeCell ref="A43:F43"/>
    <mergeCell ref="A28:F28"/>
    <mergeCell ref="D23:F23"/>
    <mergeCell ref="D26:F26"/>
    <mergeCell ref="A40:F40"/>
    <mergeCell ref="C30:E30"/>
    <mergeCell ref="C34:E34"/>
    <mergeCell ref="A39:F39"/>
    <mergeCell ref="C33:E33"/>
    <mergeCell ref="A1:F1"/>
    <mergeCell ref="D22:F22"/>
    <mergeCell ref="C29:E29"/>
    <mergeCell ref="D21:F21"/>
    <mergeCell ref="C35:E35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style="27" min="1" max="1"/>
    <col width="36" customWidth="1" style="27" min="2" max="2"/>
    <col width="22" customWidth="1" style="27" min="3" max="3"/>
    <col width="22" customWidth="1" style="27" min="4" max="4"/>
    <col width="6" customWidth="1" style="27" min="5" max="5"/>
    <col width="30" customWidth="1" style="27" min="6" max="6"/>
    <col width="50" customWidth="1" style="27" min="7" max="7"/>
  </cols>
  <sheetData>
    <row r="1" ht="30" customHeight="1" s="27">
      <c r="A1" s="68" t="inlineStr">
        <is>
          <t>🍜  맛집 리스트 (혼밥 가이드)</t>
        </is>
      </c>
    </row>
    <row r="2">
      <c r="A2" s="84" t="inlineStr">
        <is>
          <t>혼밥: ◎ 최적(카운터·길거리) / ○ 가능 / △ 부담  ·  ★ 강력추천  ·  ※ = 휴무 주의  ·  가격·영업시간 변동 가능 → 방문 직전 공식/구글맵 확인 · 이름을 클릭하면 예약/공식 페이지로 이동</t>
        </is>
      </c>
    </row>
    <row r="3" ht="20" customHeight="1" s="27">
      <c r="A3" s="85" t="inlineStr">
        <is>
          <t>지역</t>
        </is>
      </c>
      <c r="B3" s="85" t="inlineStr">
        <is>
          <t>가게명 (한글 / 일본어)</t>
        </is>
      </c>
      <c r="C3" s="85" t="inlineStr">
        <is>
          <t>대표 메뉴 / 종류</t>
        </is>
      </c>
      <c r="D3" s="85" t="inlineStr">
        <is>
          <t>가격대 (엔)</t>
        </is>
      </c>
      <c r="E3" s="85" t="inlineStr">
        <is>
          <t>혼밥</t>
        </is>
      </c>
      <c r="F3" s="85" t="inlineStr">
        <is>
          <t>위치 / 접근</t>
        </is>
      </c>
      <c r="G3" s="85" t="inlineStr">
        <is>
          <t>메모</t>
        </is>
      </c>
    </row>
    <row r="4" ht="20" customHeight="1" s="27">
      <c r="A4" s="86" t="inlineStr">
        <is>
          <t>◆ 오사카</t>
        </is>
      </c>
      <c r="B4" s="31" t="n"/>
      <c r="C4" s="31" t="n"/>
      <c r="D4" s="31" t="n"/>
      <c r="E4" s="31" t="n"/>
      <c r="F4" s="31" t="n"/>
      <c r="G4" s="33" t="n"/>
    </row>
    <row r="5" ht="30" customHeight="1" s="27">
      <c r="A5" s="87" t="inlineStr">
        <is>
          <t>오사카</t>
        </is>
      </c>
      <c r="B5" s="120" t="inlineStr">
        <is>
          <t>쿠쿠루 도톤보리 본점 (たこ家道頓堀くくる)</t>
        </is>
      </c>
      <c r="C5" s="89" t="inlineStr">
        <is>
          <t>타코야키·아카시야키</t>
        </is>
      </c>
      <c r="D5" s="89" t="inlineStr">
        <is>
          <t>10개 약 950</t>
        </is>
      </c>
      <c r="E5" s="90" t="inlineStr">
        <is>
          <t>○</t>
        </is>
      </c>
      <c r="F5" s="89" t="inlineStr">
        <is>
          <t>난바·닛폰바시역 도보, 도톤보리 강변</t>
        </is>
      </c>
      <c r="G5" s="91" t="inlineStr">
        <is>
          <t>이트인 좌석. 줄 빈번. 평일11:00~21:00/주말10:00~(L.O.20:30)</t>
        </is>
      </c>
    </row>
    <row r="6" ht="30" customHeight="1" s="27">
      <c r="A6" s="92" t="inlineStr">
        <is>
          <t>오사카</t>
        </is>
      </c>
      <c r="B6" s="121" t="inlineStr">
        <is>
          <t>도톤보리 아카오니 (道頓堀 赤鬼)</t>
        </is>
      </c>
      <c r="C6" s="94" t="inlineStr">
        <is>
          <t>타코야키(소스 선택형)</t>
        </is>
      </c>
      <c r="D6" s="94" t="inlineStr">
        <is>
          <t>8개 약 500 / 12개 약 760</t>
        </is>
      </c>
      <c r="E6" s="95" t="inlineStr">
        <is>
          <t>◎</t>
        </is>
      </c>
      <c r="F6" s="94" t="inlineStr">
        <is>
          <t>난바역 도보(난바1초메)</t>
        </is>
      </c>
      <c r="G6" s="96" t="inlineStr">
        <is>
          <t>테이크아웃·간단좌석. 12:00~21:00</t>
        </is>
      </c>
    </row>
    <row r="7" ht="30" customHeight="1" s="27">
      <c r="A7" s="87" t="inlineStr">
        <is>
          <t>오사카</t>
        </is>
      </c>
      <c r="B7" s="120" t="inlineStr">
        <is>
          <t>와나카 센니치마에 본점 (たこ焼道楽わなか)</t>
        </is>
      </c>
      <c r="C7" s="89" t="inlineStr">
        <is>
          <t>타코야키</t>
        </is>
      </c>
      <c r="D7" s="89" t="inlineStr">
        <is>
          <t>8개 약 500</t>
        </is>
      </c>
      <c r="E7" s="90" t="inlineStr">
        <is>
          <t>◎</t>
        </is>
      </c>
      <c r="F7" s="89" t="inlineStr">
        <is>
          <t>난카이 난바역 도보4분</t>
        </is>
      </c>
      <c r="G7" s="91" t="inlineStr">
        <is>
          <t>이트인 약80석 혼밥 매우적합. 줄 끊이지않음. 월~금10~23시/주말8:30~. 무휴</t>
        </is>
      </c>
    </row>
    <row r="8" ht="30" customHeight="1" s="27">
      <c r="A8" s="92" t="inlineStr">
        <is>
          <t>오사카</t>
        </is>
      </c>
      <c r="B8" s="121" t="inlineStr">
        <is>
          <t>코가류 아메리카무라 본점 (甲賀流)</t>
        </is>
      </c>
      <c r="C8" s="94" t="inlineStr">
        <is>
          <t>타코야키(소스마요·네기폰)</t>
        </is>
      </c>
      <c r="D8" s="94" t="inlineStr">
        <is>
          <t>10개 약 600~700</t>
        </is>
      </c>
      <c r="E8" s="95" t="inlineStr">
        <is>
          <t>◎</t>
        </is>
      </c>
      <c r="F8" s="94" t="inlineStr">
        <is>
          <t>신사이바시역 도보, 삼각공원 맞은편</t>
        </is>
      </c>
      <c r="G8" s="96" t="inlineStr">
        <is>
          <t>테이크아웃 전문. 미슐랭 빕구르망. 평일·일10:30~20:30/토~21:30</t>
        </is>
      </c>
    </row>
    <row r="9" ht="30" customHeight="1" s="27">
      <c r="A9" s="87" t="inlineStr">
        <is>
          <t>오사카</t>
        </is>
      </c>
      <c r="B9" s="120" t="inlineStr">
        <is>
          <t>미즈노 (美津の)</t>
        </is>
      </c>
      <c r="C9" s="89" t="inlineStr">
        <is>
          <t>오코노미야키(야마이모야키)</t>
        </is>
      </c>
      <c r="D9" s="89" t="inlineStr">
        <is>
          <t>1인 약 1,500~</t>
        </is>
      </c>
      <c r="E9" s="90" t="inlineStr">
        <is>
          <t>△</t>
        </is>
      </c>
      <c r="F9" s="89" t="inlineStr">
        <is>
          <t>난바역 도보(도톤보리1-4-15)</t>
        </is>
      </c>
      <c r="G9" s="91" t="inlineStr">
        <is>
          <t>카운터 철판석. 긴 대기·예약불가, 솔로 합석. 1945년 노포. 11~22시(L.O.21) 무휴</t>
        </is>
      </c>
    </row>
    <row r="10" ht="30" customHeight="1" s="27">
      <c r="A10" s="92" t="inlineStr">
        <is>
          <t>오사카</t>
        </is>
      </c>
      <c r="B10" s="121" t="inlineStr">
        <is>
          <t>오코노미야키 키지 본점 (お好み焼 きじ)</t>
        </is>
      </c>
      <c r="C10" s="94" t="inlineStr">
        <is>
          <t>오코노미야키(모단야키)</t>
        </is>
      </c>
      <c r="D10" s="94" t="inlineStr">
        <is>
          <t>모단 약 770 / 1인 700~</t>
        </is>
      </c>
      <c r="E10" s="95" t="inlineStr">
        <is>
          <t>△</t>
        </is>
      </c>
      <c r="F10" s="94" t="inlineStr">
        <is>
          <t>JR오사카·한큐우메다역 도보2분(신우메다식당가2F)</t>
        </is>
      </c>
      <c r="G10" s="96" t="inlineStr">
        <is>
          <t>약20석 소규모, 개점전 줄. ~21:30 L.O. ※일요일 휴무</t>
        </is>
      </c>
    </row>
    <row r="11" ht="30" customHeight="1" s="27">
      <c r="A11" s="87" t="inlineStr">
        <is>
          <t>오사카</t>
        </is>
      </c>
      <c r="B11" s="120" t="inlineStr">
        <is>
          <t>쿠시카츠 다루마 신세카이 총본점 (元祖串かつだるま)</t>
        </is>
      </c>
      <c r="C11" s="89" t="inlineStr">
        <is>
          <t>쿠시카츠(소스 두번찍기 금지)</t>
        </is>
      </c>
      <c r="D11" s="89" t="inlineStr">
        <is>
          <t>1꼬치 130~143 / 1인 약 1,500</t>
        </is>
      </c>
      <c r="E11" s="90" t="inlineStr">
        <is>
          <t>◎</t>
        </is>
      </c>
      <c r="F11" s="89" t="inlineStr">
        <is>
          <t>도부츠엔마에·JR신이마미야역 도보5분</t>
        </is>
      </c>
      <c r="G11" s="91" t="inlineStr">
        <is>
          <t>★카운터12석 혼밥최적. 1929년. 평일11~22:30/주말10:30~(L.O.22) 무휴</t>
        </is>
      </c>
    </row>
    <row r="12" ht="30" customHeight="1" s="27">
      <c r="A12" s="92" t="inlineStr">
        <is>
          <t>오사카</t>
        </is>
      </c>
      <c r="B12" s="121" t="inlineStr">
        <is>
          <t>킨류 라멘 도톤보리점 (金龍ラーメン)</t>
        </is>
      </c>
      <c r="C12" s="94" t="inlineStr">
        <is>
          <t>라멘(돈코츠+닭뼈, 셀프토핑)</t>
        </is>
      </c>
      <c r="D12" s="94" t="inlineStr">
        <is>
          <t>약 600 / 차슈 900</t>
        </is>
      </c>
      <c r="E12" s="95" t="inlineStr">
        <is>
          <t>◎</t>
        </is>
      </c>
      <c r="F12" s="94" t="inlineStr">
        <is>
          <t>도톤보리·센니치마에 코너(용 간판)</t>
        </is>
      </c>
      <c r="G12" s="96" t="inlineStr">
        <is>
          <t>24시간 영업·심야 가능. 줄 짧은 편</t>
        </is>
      </c>
    </row>
    <row r="13" ht="30" customHeight="1" s="27">
      <c r="A13" s="87" t="inlineStr">
        <is>
          <t>오사카</t>
        </is>
      </c>
      <c r="B13" s="120" t="inlineStr">
        <is>
          <t>카무쿠라 도톤보리점 (どうとんぼり神座)</t>
        </is>
      </c>
      <c r="C13" s="89" t="inlineStr">
        <is>
          <t>라멘(배추 듬뿍 깔끔국물)</t>
        </is>
      </c>
      <c r="D13" s="89" t="inlineStr">
        <is>
          <t>약 850 / 차슈니타마 980</t>
        </is>
      </c>
      <c r="E13" s="90" t="inlineStr">
        <is>
          <t>◎</t>
        </is>
      </c>
      <c r="F13" s="89" t="inlineStr">
        <is>
          <t>난바역 도보</t>
        </is>
      </c>
      <c r="G13" s="91" t="inlineStr">
        <is>
          <t>카운터·회전빠름. 한국인 입맛. 본점11:00~익7:30</t>
        </is>
      </c>
    </row>
    <row r="14" ht="30" customHeight="1" s="27">
      <c r="A14" s="92" t="inlineStr">
        <is>
          <t>오사카</t>
        </is>
      </c>
      <c r="B14" s="121" t="inlineStr">
        <is>
          <t>이치란 도톤보리 별관 (一蘭)</t>
        </is>
      </c>
      <c r="C14" s="94" t="inlineStr">
        <is>
          <t>돈코츠 라멘(1인 칸막이석)</t>
        </is>
      </c>
      <c r="D14" s="94" t="inlineStr">
        <is>
          <t>약 980 / 가에다마 210</t>
        </is>
      </c>
      <c r="E14" s="95" t="inlineStr">
        <is>
          <t>◎</t>
        </is>
      </c>
      <c r="F14" s="94" t="inlineStr">
        <is>
          <t>소에몬초, 난바역 도보</t>
        </is>
      </c>
      <c r="G14" s="96" t="inlineStr">
        <is>
          <t>★1인 칸막이석 혼밥최적. 24시간(일부 한정). 줄 가능</t>
        </is>
      </c>
    </row>
    <row r="15" ht="30" customHeight="1" s="27">
      <c r="A15" s="87" t="inlineStr">
        <is>
          <t>오사카</t>
        </is>
      </c>
      <c r="B15" s="120" t="inlineStr">
        <is>
          <t>지유켄 난바 본점 (自由軒)</t>
        </is>
      </c>
      <c r="C15" s="89" t="inlineStr">
        <is>
          <t>명물 카레(드라이+날달걀)</t>
        </is>
      </c>
      <c r="D15" s="89" t="inlineStr">
        <is>
          <t>약 750</t>
        </is>
      </c>
      <c r="E15" s="90" t="inlineStr">
        <is>
          <t>○</t>
        </is>
      </c>
      <c r="F15" s="89" t="inlineStr">
        <is>
          <t>난바역 도보3~7분</t>
        </is>
      </c>
      <c r="G15" s="91" t="inlineStr">
        <is>
          <t>1910년 오사카 最古 양식당. 11~20시. ※월요일 휴무</t>
        </is>
      </c>
    </row>
    <row r="16" ht="30" customHeight="1" s="27">
      <c r="A16" s="92" t="inlineStr">
        <is>
          <t>오사카</t>
        </is>
      </c>
      <c r="B16" s="121" t="inlineStr">
        <is>
          <t>인데안 카레 미나미점 (インデアンカレー)</t>
        </is>
      </c>
      <c r="C16" s="94" t="inlineStr">
        <is>
          <t>인데안 카레(단→매운맛)</t>
        </is>
      </c>
      <c r="D16" s="94" t="inlineStr">
        <is>
          <t>약 638</t>
        </is>
      </c>
      <c r="E16" s="95" t="inlineStr">
        <is>
          <t>◎</t>
        </is>
      </c>
      <c r="F16" s="94" t="inlineStr">
        <is>
          <t>난바역 도보3분, 덴덴타운 도보</t>
        </is>
      </c>
      <c r="G16" s="96" t="inlineStr">
        <is>
          <t>카운터석만 혼밥최적. 11~15:30/17~20시. ※수요일+연말연시 휴무</t>
        </is>
      </c>
    </row>
    <row r="17" ht="30" customHeight="1" s="27">
      <c r="A17" s="87" t="inlineStr">
        <is>
          <t>오사카</t>
        </is>
      </c>
      <c r="B17" s="120" t="inlineStr">
        <is>
          <t>이마이 본점 (道頓堀今井)</t>
        </is>
      </c>
      <c r="C17" s="89" t="inlineStr">
        <is>
          <t>우동(키츠네우동, 다시명가)</t>
        </is>
      </c>
      <c r="D17" s="89" t="inlineStr">
        <is>
          <t>약 930</t>
        </is>
      </c>
      <c r="E17" s="90" t="inlineStr">
        <is>
          <t>○</t>
        </is>
      </c>
      <c r="F17" s="89" t="inlineStr">
        <is>
          <t>난바역 도보, 도톤보리</t>
        </is>
      </c>
      <c r="G17" s="91" t="inlineStr">
        <is>
          <t>11:30~21시. ※수요일+매월4째화 휴무</t>
        </is>
      </c>
    </row>
    <row r="18" ht="30" customHeight="1" s="27">
      <c r="A18" s="92" t="inlineStr">
        <is>
          <t>오사카</t>
        </is>
      </c>
      <c r="B18" s="121" t="inlineStr">
        <is>
          <t>[참고] 카니도라쿠 도톤보리 본점 (かに道楽)</t>
        </is>
      </c>
      <c r="C18" s="94" t="inlineStr">
        <is>
          <t>게 코스(움직이는 게 간판)</t>
        </is>
      </c>
      <c r="D18" s="94" t="inlineStr">
        <is>
          <t>런치 4,000~ / 디너 7,000~</t>
        </is>
      </c>
      <c r="E18" s="95" t="inlineStr">
        <is>
          <t>△</t>
        </is>
      </c>
      <c r="F18" s="94" t="inlineStr">
        <is>
          <t>난바역 도보</t>
        </is>
      </c>
      <c r="G18" s="96" t="inlineStr">
        <is>
          <t>코스·고가라 솔로 비추천. 명물 간판 사진 포인트. 11~22시</t>
        </is>
      </c>
    </row>
    <row r="19" ht="20" customHeight="1" s="27">
      <c r="A19" s="86" t="inlineStr">
        <is>
          <t>◆ 교토</t>
        </is>
      </c>
      <c r="B19" s="31" t="n"/>
      <c r="C19" s="31" t="n"/>
      <c r="D19" s="31" t="n"/>
      <c r="E19" s="31" t="n"/>
      <c r="F19" s="31" t="n"/>
      <c r="G19" s="33" t="n"/>
    </row>
    <row r="20" ht="30" customHeight="1" s="27">
      <c r="A20" s="87" t="inlineStr">
        <is>
          <t>교토</t>
        </is>
      </c>
      <c r="B20" s="120" t="inlineStr">
        <is>
          <t>본가 제1아사히 타카바시 본점 (本家第一旭)</t>
        </is>
      </c>
      <c r="C20" s="89" t="inlineStr">
        <is>
          <t>교토식 쇼유 라멘</t>
        </is>
      </c>
      <c r="D20" s="89" t="inlineStr">
        <is>
          <t>약 850~980</t>
        </is>
      </c>
      <c r="E20" s="90" t="inlineStr">
        <is>
          <t>◎</t>
        </is>
      </c>
      <c r="F20" s="89" t="inlineStr">
        <is>
          <t>교토역 중앙구 도보4~5분</t>
        </is>
      </c>
      <c r="G20" s="91" t="inlineStr">
        <is>
          <t>★1947년 노포. 1시간 대기 흔함. 6:00~익1:00. ※목요일 휴무</t>
        </is>
      </c>
    </row>
    <row r="21" ht="30" customHeight="1" s="27">
      <c r="A21" s="92" t="inlineStr">
        <is>
          <t>교토</t>
        </is>
      </c>
      <c r="B21" s="121" t="inlineStr">
        <is>
          <t>텐카잇핀 총본점 (天下一品)</t>
        </is>
      </c>
      <c r="C21" s="94" t="inlineStr">
        <is>
          <t>코테리 라멘(진한 걸쭉)</t>
        </is>
      </c>
      <c r="D21" s="94" t="inlineStr">
        <is>
          <t>약 920 / 차슈 1,310</t>
        </is>
      </c>
      <c r="E21" s="95" t="inlineStr">
        <is>
          <t>◎</t>
        </is>
      </c>
      <c r="F21" s="94" t="inlineStr">
        <is>
          <t>에이잔전철 차야마역 도보10분</t>
        </is>
      </c>
      <c r="G21" s="96" t="inlineStr">
        <is>
          <t>체인 1호점. 11:00~익1:00. 무휴(1/1휴). 줄 가능</t>
        </is>
      </c>
    </row>
    <row r="22" ht="30" customHeight="1" s="27">
      <c r="A22" s="87" t="inlineStr">
        <is>
          <t>교토</t>
        </is>
      </c>
      <c r="B22" s="120" t="inlineStr">
        <is>
          <t>중화소바 타카야스 (中華そば高安)</t>
        </is>
      </c>
      <c r="C22" s="89" t="inlineStr">
        <is>
          <t>돈코츠 라멘+거대 가라아게</t>
        </is>
      </c>
      <c r="D22" s="89" t="inlineStr">
        <is>
          <t>약 800~1,000대(확인)</t>
        </is>
      </c>
      <c r="E22" s="90" t="inlineStr">
        <is>
          <t>◎</t>
        </is>
      </c>
      <c r="F22" s="89" t="inlineStr">
        <is>
          <t>에이잔전철 이치조지역 도보</t>
        </is>
      </c>
      <c r="G22" s="91" t="inlineStr">
        <is>
          <t>항상 행렬. 부정기 휴무. 가격 확인필요</t>
        </is>
      </c>
    </row>
    <row r="23" ht="30" customHeight="1" s="27">
      <c r="A23" s="92" t="inlineStr">
        <is>
          <t>교토</t>
        </is>
      </c>
      <c r="B23" s="121" t="inlineStr">
        <is>
          <t>카이 (櫂 KAI)</t>
        </is>
      </c>
      <c r="C23" s="94" t="inlineStr">
        <is>
          <t>타코타마고(문어+메추리알 꼬치)</t>
        </is>
      </c>
      <c r="D23" s="94" t="inlineStr">
        <is>
          <t>꼬치 약 500~1,000</t>
        </is>
      </c>
      <c r="E23" s="95" t="inlineStr">
        <is>
          <t>◎</t>
        </is>
      </c>
      <c r="F23" s="94" t="inlineStr">
        <is>
          <t>가와라마치·시조역 도보, 니시키시장</t>
        </is>
      </c>
      <c r="G23" s="96" t="inlineStr">
        <is>
          <t>★서서먹는 길거리 혼밥완벽. 10~18시 부정기휴무</t>
        </is>
      </c>
    </row>
    <row r="24" ht="30" customHeight="1" s="27">
      <c r="A24" s="87" t="inlineStr">
        <is>
          <t>교토</t>
        </is>
      </c>
      <c r="B24" s="120" t="inlineStr">
        <is>
          <t>미키케이란 (三木鶏卵)</t>
        </is>
      </c>
      <c r="C24" s="89" t="inlineStr">
        <is>
          <t>다시마키타마고(계란말이)</t>
        </is>
      </c>
      <c r="D24" s="89" t="inlineStr">
        <is>
          <t>수백 엔대(확인)</t>
        </is>
      </c>
      <c r="E24" s="90" t="inlineStr">
        <is>
          <t>◎</t>
        </is>
      </c>
      <c r="F24" s="89" t="inlineStr">
        <is>
          <t>니시키시장</t>
        </is>
      </c>
      <c r="G24" s="91" t="inlineStr">
        <is>
          <t>1923년 노포. 길거리. 약9~17시</t>
        </is>
      </c>
    </row>
    <row r="25" ht="30" customHeight="1" s="27">
      <c r="A25" s="92" t="inlineStr">
        <is>
          <t>교토</t>
        </is>
      </c>
      <c r="B25" s="121" t="inlineStr">
        <is>
          <t>콘나몬쟈 (こんなもんじゃ)</t>
        </is>
      </c>
      <c r="C25" s="94" t="inlineStr">
        <is>
          <t>두유 도넛</t>
        </is>
      </c>
      <c r="D25" s="94" t="inlineStr">
        <is>
          <t>약 350~500(8~10개)</t>
        </is>
      </c>
      <c r="E25" s="95" t="inlineStr">
        <is>
          <t>◎</t>
        </is>
      </c>
      <c r="F25" s="94" t="inlineStr">
        <is>
          <t>니시키시장(후지노 직영)</t>
        </is>
      </c>
      <c r="G25" s="96" t="inlineStr">
        <is>
          <t>길거리 간식. 인근 카리카리박사 점보 다코야키 약 280~</t>
        </is>
      </c>
    </row>
    <row r="26" ht="30" customHeight="1" s="27">
      <c r="A26" s="87" t="inlineStr">
        <is>
          <t>교토</t>
        </is>
      </c>
      <c r="B26" s="120" t="inlineStr">
        <is>
          <t>본가 오와리야 (本家尾張屋)</t>
        </is>
      </c>
      <c r="C26" s="89" t="inlineStr">
        <is>
          <t>니신소바(청어+교토다시)</t>
        </is>
      </c>
      <c r="D26" s="89" t="inlineStr">
        <is>
          <t>니신소바 약 1,650</t>
        </is>
      </c>
      <c r="E26" s="90" t="inlineStr">
        <is>
          <t>○</t>
        </is>
      </c>
      <c r="F26" s="89" t="inlineStr">
        <is>
          <t>다카시마야점 가와라마치역 직결</t>
        </is>
      </c>
      <c r="G26" s="91" t="inlineStr">
        <is>
          <t>1465년 노포. ⚠본점 소바영업 장기휴업(2026.1~)·다카시마야점도 영업여부 방문 전 확인필수</t>
        </is>
      </c>
    </row>
    <row r="27" ht="30" customHeight="1" s="27">
      <c r="A27" s="92" t="inlineStr">
        <is>
          <t>교토</t>
        </is>
      </c>
      <c r="B27" s="121" t="inlineStr">
        <is>
          <t>교토 스탠드 키요키요 (京都スタンドきよきよ)</t>
        </is>
      </c>
      <c r="C27" s="94" t="inlineStr">
        <is>
          <t>오반자이+입식 술집(니쿠자가)</t>
        </is>
      </c>
      <c r="D27" s="94" t="inlineStr">
        <is>
          <t>가볍게 1,500~3,000</t>
        </is>
      </c>
      <c r="E27" s="95" t="inlineStr">
        <is>
          <t>◎</t>
        </is>
      </c>
      <c r="F27" s="94" t="inlineStr">
        <is>
          <t>가와라마치역 인접, 폰토초 입구</t>
        </is>
      </c>
      <c r="G27" s="96" t="inlineStr">
        <is>
          <t>★입식+카운터 혼술추천. 14시부터(낮술). 예약불필요</t>
        </is>
      </c>
    </row>
    <row r="28" ht="30" customHeight="1" s="27">
      <c r="A28" s="87" t="inlineStr">
        <is>
          <t>교토</t>
        </is>
      </c>
      <c r="B28" s="120" t="inlineStr">
        <is>
          <t>폰토초 스이신 본점 (先斗町すいしん)</t>
        </is>
      </c>
      <c r="C28" s="89" t="inlineStr">
        <is>
          <t>교야사이+오반자이 모듬</t>
        </is>
      </c>
      <c r="D28" s="89" t="inlineStr">
        <is>
          <t>코스 수천 엔대(확인)</t>
        </is>
      </c>
      <c r="E28" s="90" t="inlineStr">
        <is>
          <t>○</t>
        </is>
      </c>
      <c r="F28" s="89" t="inlineStr">
        <is>
          <t>가와라마치·기온시조역 도보</t>
        </is>
      </c>
      <c r="G28" s="91" t="inlineStr">
        <is>
          <t>폰토초 카운터석 많아 솔로 무난. 자릿세 확인</t>
        </is>
      </c>
    </row>
    <row r="29" ht="30" customHeight="1" s="27">
      <c r="A29" s="92" t="inlineStr">
        <is>
          <t>교토</t>
        </is>
      </c>
      <c r="B29" s="121" t="inlineStr">
        <is>
          <t>유도후 사가노 (湯豆腐嵯峨野)</t>
        </is>
      </c>
      <c r="C29" s="94" t="inlineStr">
        <is>
          <t>유도후 코스(정원)</t>
        </is>
      </c>
      <c r="D29" s="94" t="inlineStr">
        <is>
          <t>유도후 약 3,800 / 고젠 6,600</t>
        </is>
      </c>
      <c r="E29" s="95" t="inlineStr">
        <is>
          <t>△</t>
        </is>
      </c>
      <c r="F29" s="94" t="inlineStr">
        <is>
          <t>도게쓰교 도보5분, 란덴 아라시야마역</t>
        </is>
      </c>
      <c r="G29" s="96" t="inlineStr">
        <is>
          <t>코스·고가, 솔로 사전전화(075-871-6946). 11:00~16:30</t>
        </is>
      </c>
    </row>
    <row r="30" ht="30" customHeight="1" s="27">
      <c r="A30" s="87" t="inlineStr">
        <is>
          <t>교토</t>
        </is>
      </c>
      <c r="B30" s="120" t="inlineStr">
        <is>
          <t>아라시야마 갸아테이 (嵐山ぎゃあてい)</t>
        </is>
      </c>
      <c r="C30" s="89" t="inlineStr">
        <is>
          <t>교토 오반자이 고젠(약30종)</t>
        </is>
      </c>
      <c r="D30" s="89" t="inlineStr">
        <is>
          <t>고젠 약 2,800</t>
        </is>
      </c>
      <c r="E30" s="90" t="inlineStr">
        <is>
          <t>○</t>
        </is>
      </c>
      <c r="F30" s="89" t="inlineStr">
        <is>
          <t>란덴 아라시야마역 인근</t>
        </is>
      </c>
      <c r="G30" s="91" t="inlineStr">
        <is>
          <t>카운터석. 가성비 점심. 11~14:30. ※수요일+부정기휴무, 점심만</t>
        </is>
      </c>
    </row>
    <row r="31" ht="30" customHeight="1" s="27">
      <c r="A31" s="92" t="inlineStr">
        <is>
          <t>교토</t>
        </is>
      </c>
      <c r="B31" s="121" t="inlineStr">
        <is>
          <t>% 아라비카 교토 아라시야마 (% ARABICA)</t>
        </is>
      </c>
      <c r="C31" s="94" t="inlineStr">
        <is>
          <t>스페셜티 커피(강변뷰)</t>
        </is>
      </c>
      <c r="D31" s="94" t="inlineStr">
        <is>
          <t>약 500~700</t>
        </is>
      </c>
      <c r="E31" s="95" t="inlineStr">
        <is>
          <t>◎</t>
        </is>
      </c>
      <c r="F31" s="94" t="inlineStr">
        <is>
          <t>도게쓰교 옆</t>
        </is>
      </c>
      <c r="G31" s="96" t="inlineStr">
        <is>
          <t>테이크아웃. 8~18시. 30분~1h 대기→아침 권장</t>
        </is>
      </c>
    </row>
    <row r="32" ht="30" customHeight="1" s="27">
      <c r="A32" s="87" t="inlineStr">
        <is>
          <t>교토</t>
        </is>
      </c>
      <c r="B32" s="120" t="inlineStr">
        <is>
          <t>사료 츠지리 기온 본점 (茶寮都路里)</t>
        </is>
      </c>
      <c r="C32" s="89" t="inlineStr">
        <is>
          <t>말차 파르페</t>
        </is>
      </c>
      <c r="D32" s="89" t="inlineStr">
        <is>
          <t>약 1,000~ / 특선 1,694</t>
        </is>
      </c>
      <c r="E32" s="90" t="inlineStr">
        <is>
          <t>○</t>
        </is>
      </c>
      <c r="F32" s="89" t="inlineStr">
        <is>
          <t>기온시조역 도보</t>
        </is>
      </c>
      <c r="G32" s="91" t="inlineStr">
        <is>
          <t>카페 혼자편함. 10:30~20:30(L.O.19:30) 무휴. 점심 행렬→오전</t>
        </is>
      </c>
    </row>
    <row r="33" ht="20" customHeight="1" s="27">
      <c r="A33" s="86" t="inlineStr">
        <is>
          <t>◆ 나라</t>
        </is>
      </c>
      <c r="B33" s="31" t="n"/>
      <c r="C33" s="31" t="n"/>
      <c r="D33" s="31" t="n"/>
      <c r="E33" s="31" t="n"/>
      <c r="F33" s="31" t="n"/>
      <c r="G33" s="33" t="n"/>
    </row>
    <row r="34" ht="30" customHeight="1" s="27">
      <c r="A34" s="87" t="inlineStr">
        <is>
          <t>나라</t>
        </is>
      </c>
      <c r="B34" s="120" t="inlineStr">
        <is>
          <t>히라소 나라점 (柿の葉ずし平宗)</t>
        </is>
      </c>
      <c r="C34" s="89" t="inlineStr">
        <is>
          <t>카키노하스시+차가유 세트</t>
        </is>
      </c>
      <c r="D34" s="89" t="inlineStr">
        <is>
          <t>차가유세트 약 1,650</t>
        </is>
      </c>
      <c r="E34" s="90" t="inlineStr">
        <is>
          <t>○</t>
        </is>
      </c>
      <c r="F34" s="89" t="inlineStr">
        <is>
          <t>긴테쓰 나라역 도보, 사루사와이케 옆</t>
        </is>
      </c>
      <c r="G34" s="91" t="inlineStr">
        <is>
          <t>1861년 노포. 예약불가(대기). 본관11:30~20시. ※월요일 휴무</t>
        </is>
      </c>
    </row>
    <row r="35" ht="30" customHeight="1" s="27">
      <c r="A35" s="92" t="inlineStr">
        <is>
          <t>나라</t>
        </is>
      </c>
      <c r="B35" s="121" t="inlineStr">
        <is>
          <t>나카타니도 (中谷堂)</t>
        </is>
      </c>
      <c r="C35" s="94" t="inlineStr">
        <is>
          <t>요모기모찌(쑥떡)+초고속 떡치기</t>
        </is>
      </c>
      <c r="D35" s="94" t="inlineStr">
        <is>
          <t>1개 약 130~200</t>
        </is>
      </c>
      <c r="E35" s="95" t="inlineStr">
        <is>
          <t>◎</t>
        </is>
      </c>
      <c r="F35" s="94" t="inlineStr">
        <is>
          <t>긴테쓰 나라역 도보5분</t>
        </is>
      </c>
      <c r="G35" s="96" t="inlineStr">
        <is>
          <t>★길거리 간식. 떡치기 시연 수시. 약10~19시(확인)</t>
        </is>
      </c>
    </row>
    <row r="36" ht="30" customHeight="1" s="27">
      <c r="A36" s="87" t="inlineStr">
        <is>
          <t>나라</t>
        </is>
      </c>
      <c r="B36" s="120" t="inlineStr">
        <is>
          <t>텐교쿠도 나라본점 (吉野本葛天極堂)</t>
        </is>
      </c>
      <c r="C36" s="89" t="inlineStr">
        <is>
          <t>쿠즈모찌·쿠즈키리(요시노 혼쿠즈)</t>
        </is>
      </c>
      <c r="D36" s="89" t="inlineStr">
        <is>
          <t>약 1,000~2,000(쿠즈모찌 660)</t>
        </is>
      </c>
      <c r="E36" s="90" t="inlineStr">
        <is>
          <t>○</t>
        </is>
      </c>
      <c r="F36" s="89" t="inlineStr">
        <is>
          <t>긴테쓰 나라역 도보10분</t>
        </is>
      </c>
      <c r="G36" s="91" t="inlineStr">
        <is>
          <t>차분한 카페. 10:00~19:30(L.O.19). ※화요일 휴무</t>
        </is>
      </c>
    </row>
    <row r="37" ht="30" customHeight="1" s="27">
      <c r="A37" s="92" t="inlineStr">
        <is>
          <t>나라</t>
        </is>
      </c>
      <c r="B37" s="121" t="inlineStr">
        <is>
          <t>소면처 스루스루 (そうめん処スルスル)</t>
        </is>
      </c>
      <c r="C37" s="94" t="inlineStr">
        <is>
          <t>미와소면 창작(타이다시소면)</t>
        </is>
      </c>
      <c r="D37" s="94" t="inlineStr">
        <is>
          <t>약 900~1,500(타이다시 1,000)</t>
        </is>
      </c>
      <c r="E37" s="95" t="inlineStr">
        <is>
          <t>○</t>
        </is>
      </c>
      <c r="F37" s="94" t="inlineStr">
        <is>
          <t>긴테쓰 나라역 도보, 나라마치</t>
        </is>
      </c>
      <c r="G37" s="96" t="inlineStr">
        <is>
          <t>마치야 개조. 점심만(평일11:30~/주말11~15시). ※일·월·화 휴무</t>
        </is>
      </c>
    </row>
    <row r="38" ht="30" customHeight="1" s="27">
      <c r="A38" s="87" t="inlineStr">
        <is>
          <t>나라</t>
        </is>
      </c>
      <c r="B38" s="120" t="inlineStr">
        <is>
          <t>카마메시 시즈카 공원점 (釜めし志津香)</t>
        </is>
      </c>
      <c r="C38" s="89" t="inlineStr">
        <is>
          <t>카마메시(직화 솥밥)</t>
        </is>
      </c>
      <c r="D38" s="89" t="inlineStr">
        <is>
          <t>약 2,000 전후</t>
        </is>
      </c>
      <c r="E38" s="90" t="inlineStr">
        <is>
          <t>○</t>
        </is>
      </c>
      <c r="F38" s="89" t="inlineStr">
        <is>
          <t>긴테쓰 나라역 도보15분, 국립박물관 앞</t>
        </is>
      </c>
      <c r="G38" s="91" t="inlineStr">
        <is>
          <t>1959년. 점심 대기 김·예약불가. 평일11~15시/주말~16시. ※화요일+월1회, 점심만</t>
        </is>
      </c>
    </row>
    <row r="39" ht="30" customHeight="1" s="27">
      <c r="A39" s="92" t="inlineStr">
        <is>
          <t>나라</t>
        </is>
      </c>
      <c r="B39" s="121" t="inlineStr">
        <is>
          <t>이자사 / 나카타니혼포 (ゐざさ/中谷本舗)</t>
        </is>
      </c>
      <c r="C39" s="94" t="inlineStr">
        <is>
          <t>카키노하스시(매점+식당)</t>
        </is>
      </c>
      <c r="D39" s="94" t="inlineStr">
        <is>
          <t>세트 약 1,000~2,500(확인)</t>
        </is>
      </c>
      <c r="E39" s="95" t="inlineStr">
        <is>
          <t>○</t>
        </is>
      </c>
      <c r="F39" s="94" t="inlineStr">
        <is>
          <t>도다이지 도보3분</t>
        </is>
      </c>
      <c r="G39" s="96" t="inlineStr">
        <is>
          <t>관광지 내 1인 자연스러움. 매점10~17시/식당11~17시</t>
        </is>
      </c>
    </row>
    <row r="40" ht="20" customHeight="1" s="27">
      <c r="A40" s="86" t="inlineStr">
        <is>
          <t>◆ 고베</t>
        </is>
      </c>
      <c r="B40" s="31" t="n"/>
      <c r="C40" s="31" t="n"/>
      <c r="D40" s="31" t="n"/>
      <c r="E40" s="31" t="n"/>
      <c r="F40" s="31" t="n"/>
      <c r="G40" s="33" t="n"/>
    </row>
    <row r="41" ht="30" customHeight="1" s="27">
      <c r="A41" s="87" t="inlineStr">
        <is>
          <t>고베</t>
        </is>
      </c>
      <c r="B41" s="88" t="inlineStr">
        <is>
          <t>스테이크랜드 고베관 (ステーキランド神戸館)</t>
        </is>
      </c>
      <c r="C41" s="89" t="inlineStr">
        <is>
          <t>고베규 텟판야키(가성비)</t>
        </is>
      </c>
      <c r="D41" s="89" t="inlineStr">
        <is>
          <t>고베규 런치 약 3,500 / 일반런치 1,200~</t>
        </is>
      </c>
      <c r="E41" s="90" t="inlineStr">
        <is>
          <t>◎</t>
        </is>
      </c>
      <c r="F41" s="89" t="inlineStr">
        <is>
          <t>산노미야역 도보1~2분</t>
        </is>
      </c>
      <c r="G41" s="91" t="inlineStr">
        <is>
          <t>★철판 카운터 솔로흔함. 예약 거의안받음·대기20~30분(평일점심·개점직후). 11~14시/17~21:30</t>
        </is>
      </c>
    </row>
    <row r="42" ht="30" customHeight="1" s="27">
      <c r="A42" s="92" t="inlineStr">
        <is>
          <t>고베</t>
        </is>
      </c>
      <c r="B42" s="121" t="inlineStr">
        <is>
          <t>모리야 본점 (モーリヤ本店)</t>
        </is>
      </c>
      <c r="C42" s="94" t="inlineStr">
        <is>
          <t>A5 고베규 텟판야키</t>
        </is>
      </c>
      <c r="D42" s="94" t="inlineStr">
        <is>
          <t>런치 약 10,000~ / 디너 15,000~</t>
        </is>
      </c>
      <c r="E42" s="95" t="inlineStr">
        <is>
          <t>○</t>
        </is>
      </c>
      <c r="F42" s="94" t="inlineStr">
        <is>
          <t>JR산노미야역 서구 도보3~5분</t>
        </is>
      </c>
      <c r="G42" s="96" t="inlineStr">
        <is>
          <t>1885년 노포. 개인손님 환영. 예약권장. 11~22시(L.O.21)</t>
        </is>
      </c>
    </row>
    <row r="43" ht="30" customHeight="1" s="27">
      <c r="A43" s="87" t="inlineStr">
        <is>
          <t>고베</t>
        </is>
      </c>
      <c r="B43" s="120" t="inlineStr">
        <is>
          <t>고베 플레지르 본점 (神戸プレジール)</t>
        </is>
      </c>
      <c r="C43" s="89" t="inlineStr">
        <is>
          <t>고베규·타지마규 텟판야키(JA직영)</t>
        </is>
      </c>
      <c r="D43" s="89" t="inlineStr">
        <is>
          <t>런치 약 9,570~ / 디너 11,000~</t>
        </is>
      </c>
      <c r="E43" s="90" t="inlineStr">
        <is>
          <t>○</t>
        </is>
      </c>
      <c r="F43" s="89" t="inlineStr">
        <is>
          <t>산노미야역 도보5분</t>
        </is>
      </c>
      <c r="G43" s="91" t="inlineStr">
        <is>
          <t>철판 카운터 코스. 예약권장(078-571-0141). ※월요일 휴무</t>
        </is>
      </c>
    </row>
    <row r="44" ht="30" customHeight="1" s="27">
      <c r="A44" s="92" t="inlineStr">
        <is>
          <t>고베</t>
        </is>
      </c>
      <c r="B44" s="121" t="inlineStr">
        <is>
          <t>와코쿠 (ワッコク Wakkoqu)</t>
        </is>
      </c>
      <c r="C44" s="94" t="inlineStr">
        <is>
          <t>고베규 텟판야키(명점)</t>
        </is>
      </c>
      <c r="D44" s="94" t="inlineStr">
        <is>
          <t>런치코스 약 7,950 / 디너 16,220~</t>
        </is>
      </c>
      <c r="E44" s="95" t="inlineStr">
        <is>
          <t>○</t>
        </is>
      </c>
      <c r="F44" s="94" t="inlineStr">
        <is>
          <t>신코베역 직결(본점 ANA호텔3F)</t>
        </is>
      </c>
      <c r="G44" s="96" t="inlineStr">
        <is>
          <t>철판 카운터. 예약 강력권장. ⚠위치주의: 산노미야 아님(신코베/기타노)</t>
        </is>
      </c>
    </row>
    <row r="45" ht="30" customHeight="1" s="27">
      <c r="A45" s="87" t="inlineStr">
        <is>
          <t>고베</t>
        </is>
      </c>
      <c r="B45" s="120" t="inlineStr">
        <is>
          <t>고베규 킷쇼키치 산노미야점 (神戸牛吉祥吉)</t>
        </is>
      </c>
      <c r="C45" s="89" t="inlineStr">
        <is>
          <t>고베규 스테이크+함박·비프카츠카레</t>
        </is>
      </c>
      <c r="D45" s="89" t="inlineStr">
        <is>
          <t>런치 약 2,750~</t>
        </is>
      </c>
      <c r="E45" s="90" t="inlineStr">
        <is>
          <t>◎</t>
        </is>
      </c>
      <c r="F45" s="89" t="inlineStr">
        <is>
          <t>한큐 산노미야역 서구 도보3분</t>
        </is>
      </c>
      <c r="G45" s="91" t="inlineStr">
        <is>
          <t>★'혼자서도 편하게' 공식 명시. 10:30~21시(L.O.20:30) 무휴. 솔로 점심 추천</t>
        </is>
      </c>
    </row>
    <row r="46" ht="30" customHeight="1" s="27">
      <c r="A46" s="92" t="inlineStr">
        <is>
          <t>고베</t>
        </is>
      </c>
      <c r="B46" s="121" t="inlineStr">
        <is>
          <t>로쇼키 (老祥記)</t>
        </is>
      </c>
      <c r="C46" s="94" t="inlineStr">
        <is>
          <t>부타만(돼지고기 만두)</t>
        </is>
      </c>
      <c r="D46" s="94" t="inlineStr">
        <is>
          <t>1개 100 / 5개 600 / 10개 1,200</t>
        </is>
      </c>
      <c r="E46" s="95" t="inlineStr">
        <is>
          <t>◎</t>
        </is>
      </c>
      <c r="F46" s="94" t="inlineStr">
        <is>
          <t>난킨마치 광장 중앙</t>
        </is>
      </c>
      <c r="G46" s="96" t="inlineStr">
        <is>
          <t>1915년 원조. 현금만. ⚠재건축 임시이전: 난킨마치 광장 건너 자매점 曹家包子館 운영(~2026.11경)·테이크아웃 중심. 평일 오전 한산</t>
        </is>
      </c>
    </row>
    <row r="47" ht="20" customHeight="1" s="27">
      <c r="A47" s="86" t="inlineStr">
        <is>
          <t>◆ 더 다양하게 — 장르별 혼밥 추천</t>
        </is>
      </c>
      <c r="B47" s="31" t="n"/>
      <c r="C47" s="31" t="n"/>
      <c r="D47" s="31" t="n"/>
      <c r="E47" s="31" t="n"/>
      <c r="F47" s="31" t="n"/>
      <c r="G47" s="31" t="n"/>
    </row>
    <row r="48" ht="30" customHeight="1" s="27">
      <c r="A48" s="87" t="inlineStr">
        <is>
          <t>오사카</t>
        </is>
      </c>
      <c r="B48" s="120" t="inlineStr">
        <is>
          <t>회전초밥 쿠라스시·스시로 (くら寿司/スシロー)</t>
        </is>
      </c>
      <c r="C48" s="89" t="inlineStr">
        <is>
          <t>회전초밥(터치패널)</t>
        </is>
      </c>
      <c r="D48" s="89" t="inlineStr">
        <is>
          <t>1접시 약 115~</t>
        </is>
      </c>
      <c r="E48" s="90" t="inlineStr">
        <is>
          <t>◎</t>
        </is>
      </c>
      <c r="F48" s="89" t="inlineStr">
        <is>
          <t>도톤보리·난바 등 다수</t>
        </is>
      </c>
      <c r="G48" s="91" t="inlineStr">
        <is>
          <t>터치패널 주문이라 직원 응대 최소·혼밥 최적. 가성비 스시 체인</t>
        </is>
      </c>
    </row>
    <row r="49" ht="30" customHeight="1" s="27">
      <c r="A49" s="87" t="inlineStr">
        <is>
          <t>오사카</t>
        </is>
      </c>
      <c r="B49" s="120" t="inlineStr">
        <is>
          <t>야키니쿠 라이크 (焼肉ライク)</t>
        </is>
      </c>
      <c r="C49" s="89" t="inlineStr">
        <is>
          <t>1인 야키니쿠 정식</t>
        </is>
      </c>
      <c r="D49" s="89" t="inlineStr">
        <is>
          <t>약 1,000~1,800</t>
        </is>
      </c>
      <c r="E49" s="90" t="inlineStr">
        <is>
          <t>◎</t>
        </is>
      </c>
      <c r="F49" s="89" t="inlineStr">
        <is>
          <t>난바·우메다 등 다수</t>
        </is>
      </c>
      <c r="G49" s="91" t="inlineStr">
        <is>
          <t>1인 1철판 혼야키니쿠 전문. 빠르고 부담없음</t>
        </is>
      </c>
    </row>
    <row r="50" ht="30" customHeight="1" s="27">
      <c r="A50" s="87" t="inlineStr">
        <is>
          <t>오사카</t>
        </is>
      </c>
      <c r="B50" s="120" t="inlineStr">
        <is>
          <t>홋쿄쿠세이 신사이바시 본점 (北極星)</t>
        </is>
      </c>
      <c r="C50" s="89" t="inlineStr">
        <is>
          <t>오므라이스</t>
        </is>
      </c>
      <c r="D50" s="89" t="inlineStr">
        <is>
          <t>약 1,100~1,600</t>
        </is>
      </c>
      <c r="E50" s="90" t="inlineStr">
        <is>
          <t>○</t>
        </is>
      </c>
      <c r="F50" s="89" t="inlineStr">
        <is>
          <t>신사이바시역 도보, 난바 도보</t>
        </is>
      </c>
      <c r="G50" s="91" t="inlineStr">
        <is>
          <t>1922년 오므라이스 발상지 노포. 다다미·정원</t>
        </is>
      </c>
    </row>
    <row r="51" ht="30" customHeight="1" s="27">
      <c r="A51" s="87" t="inlineStr">
        <is>
          <t>오사카</t>
        </is>
      </c>
      <c r="B51" s="120" t="inlineStr">
        <is>
          <t>규카츠 모토무라 (牛かつもと村)</t>
        </is>
      </c>
      <c r="C51" s="89" t="inlineStr">
        <is>
          <t>규카츠(소고기카츠)</t>
        </is>
      </c>
      <c r="D51" s="89" t="inlineStr">
        <is>
          <t>약 1,500~2,200</t>
        </is>
      </c>
      <c r="E51" s="90" t="inlineStr">
        <is>
          <t>◎</t>
        </is>
      </c>
      <c r="F51" s="89" t="inlineStr">
        <is>
          <t>난바·도톤보리</t>
        </is>
      </c>
      <c r="G51" s="91" t="inlineStr">
        <is>
          <t>1인 돌판에 직접 구워먹는 레어 규카츠. 카운터석</t>
        </is>
      </c>
    </row>
    <row r="52" ht="30" customHeight="1" s="27">
      <c r="A52" s="87" t="inlineStr">
        <is>
          <t>오사카</t>
        </is>
      </c>
      <c r="B52" s="120" t="inlineStr">
        <is>
          <t>텐동 마키노 (天丼まきの)</t>
        </is>
      </c>
      <c r="C52" s="89" t="inlineStr">
        <is>
          <t>텐동·텐푸라</t>
        </is>
      </c>
      <c r="D52" s="89" t="inlineStr">
        <is>
          <t>약 800~1,400</t>
        </is>
      </c>
      <c r="E52" s="90" t="inlineStr">
        <is>
          <t>◎</t>
        </is>
      </c>
      <c r="F52" s="89" t="inlineStr">
        <is>
          <t>도톤보리·호리에</t>
        </is>
      </c>
      <c r="G52" s="91" t="inlineStr">
        <is>
          <t>갓 튀긴 텐동 가성비. 카운터 혼밥 편함</t>
        </is>
      </c>
    </row>
    <row r="53" ht="30" customHeight="1" s="27">
      <c r="A53" s="87" t="inlineStr">
        <is>
          <t>오사카</t>
        </is>
      </c>
      <c r="B53" s="120" t="inlineStr">
        <is>
          <t>마루후쿠 커피점 (丸福珈琲店)</t>
        </is>
      </c>
      <c r="C53" s="89" t="inlineStr">
        <is>
          <t>킷사텐 모닝·진한커피</t>
        </is>
      </c>
      <c r="D53" s="89" t="inlineStr">
        <is>
          <t>약 600~1,100</t>
        </is>
      </c>
      <c r="E53" s="90" t="inlineStr">
        <is>
          <t>◎</t>
        </is>
      </c>
      <c r="F53" s="89" t="inlineStr">
        <is>
          <t>센니치마에 본점, 난바 도보</t>
        </is>
      </c>
      <c r="G53" s="91" t="inlineStr">
        <is>
          <t>1934년 레트로 킷사텐. 핫케이크·모닝세트</t>
        </is>
      </c>
    </row>
    <row r="54" ht="30" customHeight="1" s="27">
      <c r="A54" s="87" t="inlineStr">
        <is>
          <t>교토</t>
        </is>
      </c>
      <c r="B54" s="120" t="inlineStr">
        <is>
          <t>이노다 커피 본점 (イノダコーヒ)</t>
        </is>
      </c>
      <c r="C54" s="89" t="inlineStr">
        <is>
          <t>킷사텐 모닝·교토커피</t>
        </is>
      </c>
      <c r="D54" s="89" t="inlineStr">
        <is>
          <t>약 700~1,300</t>
        </is>
      </c>
      <c r="E54" s="90" t="inlineStr">
        <is>
          <t>○</t>
        </is>
      </c>
      <c r="F54" s="89" t="inlineStr">
        <is>
          <t>산조·가와라마치 도보</t>
        </is>
      </c>
      <c r="G54" s="91" t="inlineStr">
        <is>
          <t>1940년 교토 노포 킷사텐. 아침 커피 명소</t>
        </is>
      </c>
    </row>
    <row r="55" ht="30" customHeight="1" s="27">
      <c r="A55" s="87" t="inlineStr">
        <is>
          <t>교토</t>
        </is>
      </c>
      <c r="B55" s="120" t="inlineStr">
        <is>
          <t>카츠쿠라 (名代とんかつ かつくら)</t>
        </is>
      </c>
      <c r="C55" s="89" t="inlineStr">
        <is>
          <t>돈카츠</t>
        </is>
      </c>
      <c r="D55" s="89" t="inlineStr">
        <is>
          <t>약 1,400~2,200</t>
        </is>
      </c>
      <c r="E55" s="90" t="inlineStr">
        <is>
          <t>○</t>
        </is>
      </c>
      <c r="F55" s="89" t="inlineStr">
        <is>
          <t>산조 본점 등</t>
        </is>
      </c>
      <c r="G55" s="91" t="inlineStr">
        <is>
          <t>교토 발상 돈카츠. 참깨 갈아 소스. 깔끔</t>
        </is>
      </c>
    </row>
    <row r="56" ht="30" customHeight="1" s="27">
      <c r="A56" s="87" t="inlineStr">
        <is>
          <t>나라</t>
        </is>
      </c>
      <c r="B56" s="120" t="inlineStr">
        <is>
          <t>마호로바 대불 푸딩 (まほろば大仏プリン)</t>
        </is>
      </c>
      <c r="C56" s="89" t="inlineStr">
        <is>
          <t>푸딩·디저트</t>
        </is>
      </c>
      <c r="D56" s="89" t="inlineStr">
        <is>
          <t>약 400~700</t>
        </is>
      </c>
      <c r="E56" s="90" t="inlineStr">
        <is>
          <t>◎</t>
        </is>
      </c>
      <c r="F56" s="89" t="inlineStr">
        <is>
          <t>긴테쓰 나라역 매점</t>
        </is>
      </c>
      <c r="G56" s="91" t="inlineStr">
        <is>
          <t>나라 명물 푸딩. 귀여운 대불 뚜껑. 테이크아웃</t>
        </is>
      </c>
    </row>
    <row r="57" ht="30" customHeight="1" s="27">
      <c r="A57" s="87" t="inlineStr">
        <is>
          <t>고베</t>
        </is>
      </c>
      <c r="B57" s="120" t="inlineStr">
        <is>
          <t>이스즈 베이커리 (イスズベーカリー)</t>
        </is>
      </c>
      <c r="C57" s="89" t="inlineStr">
        <is>
          <t>베이커리·빵</t>
        </is>
      </c>
      <c r="D57" s="89" t="inlineStr">
        <is>
          <t>약 200~</t>
        </is>
      </c>
      <c r="E57" s="90" t="inlineStr">
        <is>
          <t>◎</t>
        </is>
      </c>
      <c r="F57" s="89" t="inlineStr">
        <is>
          <t>산노미야역 인근</t>
        </is>
      </c>
      <c r="G57" s="91" t="inlineStr">
        <is>
          <t>1946년 고베 대표 빵집. 빵의 도시 고베 간편 한끼</t>
        </is>
      </c>
    </row>
  </sheetData>
  <mergeCells count="7">
    <mergeCell ref="A47:G47"/>
    <mergeCell ref="A19:G19"/>
    <mergeCell ref="A1:G1"/>
    <mergeCell ref="A40:G40"/>
    <mergeCell ref="A4:G4"/>
    <mergeCell ref="A2:G2"/>
    <mergeCell ref="A33:G33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2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7" min="1" max="1"/>
    <col width="32" customWidth="1" style="27" min="2" max="2"/>
    <col width="16" customWidth="1" style="27" min="3" max="3"/>
    <col width="18" customWidth="1" style="27" min="4" max="4"/>
    <col width="14" customWidth="1" style="27" min="5" max="5"/>
    <col width="26" customWidth="1" style="27" min="6" max="6"/>
    <col width="52" customWidth="1" style="27" min="7" max="7"/>
  </cols>
  <sheetData>
    <row r="1" ht="30" customHeight="1" s="27">
      <c r="A1" s="68" t="inlineStr">
        <is>
          <t>🎡  액티비티 · 명소 추천</t>
        </is>
      </c>
    </row>
    <row r="2">
      <c r="A2" s="84" t="inlineStr">
        <is>
          <t>★ 강력추천  ·  ⚠ 주의(사진금지 등)  ·  USJ·카이유칸 등은 다이내믹 프라이싱(방문일 변동) → 구매 시 공식 확인  ·  엔(¥) 정가·성인 기준 · 이름을 클릭하면 예약/공식 페이지로 이동</t>
        </is>
      </c>
    </row>
    <row r="3" ht="20" customHeight="1" s="27">
      <c r="A3" s="85" t="inlineStr">
        <is>
          <t>지역</t>
        </is>
      </c>
      <c r="B3" s="85" t="inlineStr">
        <is>
          <t>명소 / 액티비티</t>
        </is>
      </c>
      <c r="C3" s="85" t="inlineStr">
        <is>
          <t>종류</t>
        </is>
      </c>
      <c r="D3" s="85" t="inlineStr">
        <is>
          <t>예상 비용 (엔)</t>
        </is>
      </c>
      <c r="E3" s="85" t="inlineStr">
        <is>
          <t>소요시간</t>
        </is>
      </c>
      <c r="F3" s="85" t="inlineStr">
        <is>
          <t>가까운 역</t>
        </is>
      </c>
      <c r="G3" s="85" t="inlineStr">
        <is>
          <t>메모</t>
        </is>
      </c>
    </row>
    <row r="4" ht="20" customHeight="1" s="27">
      <c r="A4" s="86" t="inlineStr">
        <is>
          <t>◆ 오사카</t>
        </is>
      </c>
      <c r="B4" s="31" t="n"/>
      <c r="C4" s="31" t="n"/>
      <c r="D4" s="31" t="n"/>
      <c r="E4" s="31" t="n"/>
      <c r="F4" s="31" t="n"/>
      <c r="G4" s="33" t="n"/>
    </row>
    <row r="5" ht="32" customHeight="1" s="27">
      <c r="A5" s="97" t="inlineStr">
        <is>
          <t>오사카(베이/유니버설)</t>
        </is>
      </c>
      <c r="B5" s="117" t="inlineStr">
        <is>
          <t>유니버설 스튜디오 재팬 (USJ)</t>
        </is>
      </c>
      <c r="C5" s="97" t="inlineStr">
        <is>
          <t>체험(테마파크)</t>
        </is>
      </c>
      <c r="D5" s="97" t="inlineStr">
        <is>
          <t>8,900~10,900(다이내믹)</t>
        </is>
      </c>
      <c r="E5" s="97" t="inlineStr">
        <is>
          <t>종일(8~12h)</t>
        </is>
      </c>
      <c r="F5" s="89" t="inlineStr">
        <is>
          <t>JR 유니버설시티역 도보5분</t>
        </is>
      </c>
      <c r="G5" s="91" t="inlineStr">
        <is>
          <t>★티켓 사전구매 필수(인기일 매진). 슈퍼닌텐도월드는 개장 직후 앱으로 무료 정리권 확보. 솔로 최강무기=싱글라이더 라인(무료·대기단축). 익스프레스 패스 별매. 금액 다이내믹·구매시 확인</t>
        </is>
      </c>
    </row>
    <row r="6" ht="32" customHeight="1" s="27">
      <c r="A6" s="99" t="inlineStr">
        <is>
          <t>오사카(베이/덴포잔)</t>
        </is>
      </c>
      <c r="B6" s="118" t="inlineStr">
        <is>
          <t>해유관 카이유칸 (海遊館)</t>
        </is>
      </c>
      <c r="C6" s="99" t="inlineStr">
        <is>
          <t>관광(수족관)</t>
        </is>
      </c>
      <c r="D6" s="99" t="inlineStr">
        <is>
          <t>2,700~3,500(다이내믹)</t>
        </is>
      </c>
      <c r="E6" s="99" t="inlineStr">
        <is>
          <t>2~2.5h</t>
        </is>
      </c>
      <c r="F6" s="94" t="inlineStr">
        <is>
          <t>메트로 주오선 오사카코역 도보5분</t>
        </is>
      </c>
      <c r="G6" s="96" t="inlineStr">
        <is>
          <t>고래상어가 하이라이트. 10:00~20:00. 날짜지정 e티켓 사전구매로 혼잡 회피. 덴포잔 관람차와 한 동선</t>
        </is>
      </c>
    </row>
    <row r="7" ht="32" customHeight="1" s="27">
      <c r="A7" s="97" t="inlineStr">
        <is>
          <t>오사카(베이/덴포잔)</t>
        </is>
      </c>
      <c r="B7" s="117" t="inlineStr">
        <is>
          <t>덴포잔 대관람차</t>
        </is>
      </c>
      <c r="C7" s="97" t="inlineStr">
        <is>
          <t>야경/체험</t>
        </is>
      </c>
      <c r="D7" s="97" t="inlineStr">
        <is>
          <t>800</t>
        </is>
      </c>
      <c r="E7" s="97" t="inlineStr">
        <is>
          <t>약30분(대기포함)</t>
        </is>
      </c>
      <c r="F7" s="89" t="inlineStr">
        <is>
          <t>메트로 주오선 오사카코역 도보5분</t>
        </is>
      </c>
      <c r="G7" s="91" t="inlineStr">
        <is>
          <t>10:00~22:00. 높이112.5m. 맑은날 USJ·아카시대교 조망. 카이유칸과 묶기 좋음</t>
        </is>
      </c>
    </row>
    <row r="8" ht="32" customHeight="1" s="27">
      <c r="A8" s="99" t="inlineStr">
        <is>
          <t>오사카(우메다)</t>
        </is>
      </c>
      <c r="B8" s="118" t="inlineStr">
        <is>
          <t>우메다 스카이빌딩 공중정원 전망대</t>
        </is>
      </c>
      <c r="C8" s="99" t="inlineStr">
        <is>
          <t>야경/관광</t>
        </is>
      </c>
      <c r="D8" s="99" t="inlineStr">
        <is>
          <t>2,000</t>
        </is>
      </c>
      <c r="E8" s="99" t="inlineStr">
        <is>
          <t>1~1.5h</t>
        </is>
      </c>
      <c r="F8" s="94" t="inlineStr">
        <is>
          <t>JR 오사카역 도보7~9분</t>
        </is>
      </c>
      <c r="G8" s="96" t="inlineStr">
        <is>
          <t>★오사카 야경 1순위. 9:30~22:30(최종22:00). 지상173m 도넛형 옥상데크. 블루아워 추천</t>
        </is>
      </c>
    </row>
    <row r="9" ht="32" customHeight="1" s="27">
      <c r="A9" s="97" t="inlineStr">
        <is>
          <t>오사카(우메다)</t>
        </is>
      </c>
      <c r="B9" s="117" t="inlineStr">
        <is>
          <t>HEP FIVE 관람차</t>
        </is>
      </c>
      <c r="C9" s="97" t="inlineStr">
        <is>
          <t>야경/쇼핑</t>
        </is>
      </c>
      <c r="D9" s="97" t="inlineStr">
        <is>
          <t>1,000</t>
        </is>
      </c>
      <c r="E9" s="97" t="inlineStr">
        <is>
          <t>약15분</t>
        </is>
      </c>
      <c r="F9" s="89" t="inlineStr">
        <is>
          <t>JR 오사카역 도보 수분</t>
        </is>
      </c>
      <c r="G9" s="91" t="inlineStr">
        <is>
          <t>11:00~23:00. 빨간 빌딩일체형 랜드마크. 2026.4.22 요금인상 반영. 같은건물 점프숍과 묶기 좋음</t>
        </is>
      </c>
    </row>
    <row r="10" ht="32" customHeight="1" s="27">
      <c r="A10" s="99" t="inlineStr">
        <is>
          <t>오사카(우메다)</t>
        </is>
      </c>
      <c r="B10" s="118" t="inlineStr">
        <is>
          <t>닌텐도 OSAKA</t>
        </is>
      </c>
      <c r="C10" s="99" t="inlineStr">
        <is>
          <t>덕질(쇼핑)</t>
        </is>
      </c>
      <c r="D10" s="99" t="inlineStr">
        <is>
          <t>0(굿즈별도)</t>
        </is>
      </c>
      <c r="E10" s="99" t="inlineStr">
        <is>
          <t>1~1.5h</t>
        </is>
      </c>
      <c r="F10" s="94" t="inlineStr">
        <is>
          <t>JR 오사카역 도보5분(다이마루우메다13F)</t>
        </is>
      </c>
      <c r="G10" s="96" t="inlineStr">
        <is>
          <t>★일본 최대급 직영점. 10:00~20:00. 마리오·동물의숲·젤다 한정굿즈. 주말 정리권 가능→오픈직후. 포켓몬센터와 같은층</t>
        </is>
      </c>
    </row>
    <row r="11" ht="32" customHeight="1" s="27">
      <c r="A11" s="97" t="inlineStr">
        <is>
          <t>오사카(우메다)</t>
        </is>
      </c>
      <c r="B11" s="117" t="inlineStr">
        <is>
          <t>포켓몬센터 오사카</t>
        </is>
      </c>
      <c r="C11" s="97" t="inlineStr">
        <is>
          <t>덕질(쇼핑)</t>
        </is>
      </c>
      <c r="D11" s="97" t="inlineStr">
        <is>
          <t>0(굿즈별도)</t>
        </is>
      </c>
      <c r="E11" s="97" t="inlineStr">
        <is>
          <t>0.5~1h</t>
        </is>
      </c>
      <c r="F11" s="89" t="inlineStr">
        <is>
          <t>JR 오사카역 도보5분(다이마루우메다13F)</t>
        </is>
      </c>
      <c r="G11" s="91" t="inlineStr">
        <is>
          <t>10:00~20:00. 닌텐도 OSAKA와 동일층→한번에. 봉제·피규어·간사이 한정굿즈</t>
        </is>
      </c>
    </row>
    <row r="12" ht="32" customHeight="1" s="27">
      <c r="A12" s="99" t="inlineStr">
        <is>
          <t>오사카(신사이바시)</t>
        </is>
      </c>
      <c r="B12" s="118" t="inlineStr">
        <is>
          <t>포켓몬센터 DX + 점프숍</t>
        </is>
      </c>
      <c r="C12" s="99" t="inlineStr">
        <is>
          <t>덕질(쇼핑)</t>
        </is>
      </c>
      <c r="D12" s="99" t="inlineStr">
        <is>
          <t>0(카페 별도·예약)</t>
        </is>
      </c>
      <c r="E12" s="99" t="inlineStr">
        <is>
          <t>1~2h</t>
        </is>
      </c>
      <c r="F12" s="94" t="inlineStr">
        <is>
          <t>미도스지선 신사이바시역(다이마루9F)</t>
        </is>
      </c>
      <c r="G12" s="96" t="inlineStr">
        <is>
          <t>전설의새3마리 동상·포켓몬카페 병설. 같은9F 점프숍(원피스·귀멸 등)→동선효율 최고</t>
        </is>
      </c>
    </row>
    <row r="13" ht="32" customHeight="1" s="27">
      <c r="A13" s="97" t="inlineStr">
        <is>
          <t>오사카(우메다)</t>
        </is>
      </c>
      <c r="B13" s="117" t="inlineStr">
        <is>
          <t>요도바시 우메다 (LINKS UMEDA)</t>
        </is>
      </c>
      <c r="C13" s="97" t="inlineStr">
        <is>
          <t>덕질(전자/애니/게임센터)</t>
        </is>
      </c>
      <c r="D13" s="97" t="inlineStr">
        <is>
          <t>0</t>
        </is>
      </c>
      <c r="E13" s="97" t="inlineStr">
        <is>
          <t>1~3h</t>
        </is>
      </c>
      <c r="F13" s="89" t="inlineStr">
        <is>
          <t>JR 오사카역 도보3분</t>
        </is>
      </c>
      <c r="G13" s="91" t="inlineStr">
        <is>
          <t>멀티미디어관 9:30~22:00. 전자+피규어·하비층+크레인게임. 우메다 베이스 솔로 원스톱. 면세</t>
        </is>
      </c>
    </row>
    <row r="14" ht="32" customHeight="1" s="27">
      <c r="A14" s="99" t="inlineStr">
        <is>
          <t>오사카(닛폰바시)</t>
        </is>
      </c>
      <c r="B14" s="118" t="inlineStr">
        <is>
          <t>덴덴타운·오타로드</t>
        </is>
      </c>
      <c r="C14" s="99" t="inlineStr">
        <is>
          <t>덕질(쇼핑거리)</t>
        </is>
      </c>
      <c r="D14" s="99" t="inlineStr">
        <is>
          <t>0</t>
        </is>
      </c>
      <c r="E14" s="99" t="inlineStr">
        <is>
          <t>2~4h</t>
        </is>
      </c>
      <c r="F14" s="94" t="inlineStr">
        <is>
          <t>사카이스지선 닛폰바시역/에비스초역</t>
        </is>
      </c>
      <c r="G14" s="96" t="inlineStr">
        <is>
          <t>★서일본 최대 오타쿠거리 150+점포. 만다라케·애니메이트·슈퍼포테이토·트레카. 혼자 보물찾기 최적</t>
        </is>
      </c>
    </row>
    <row r="15" ht="32" customHeight="1" s="27">
      <c r="A15" s="97" t="inlineStr">
        <is>
          <t>오사카(닛폰바시)</t>
        </is>
      </c>
      <c r="B15" s="117" t="inlineStr">
        <is>
          <t>애니메이트 오사카 닛폰바시</t>
        </is>
      </c>
      <c r="C15" s="97" t="inlineStr">
        <is>
          <t>덕질(쇼핑)</t>
        </is>
      </c>
      <c r="D15" s="97" t="inlineStr">
        <is>
          <t>0</t>
        </is>
      </c>
      <c r="E15" s="97" t="inlineStr">
        <is>
          <t>1~2h</t>
        </is>
      </c>
      <c r="F15" s="89" t="inlineStr">
        <is>
          <t>난바역 도보10분/닛폰바시역</t>
        </is>
      </c>
      <c r="G15" s="91" t="inlineStr">
        <is>
          <t>평일11:00~20:00 주말10:00~. 캐릭터·오시굿즈·트레카·아니쿠지. 2F 애니메이트카페 병설</t>
        </is>
      </c>
    </row>
    <row r="16" ht="32" customHeight="1" s="27">
      <c r="A16" s="99" t="inlineStr">
        <is>
          <t>오사카(닛폰바시)</t>
        </is>
      </c>
      <c r="B16" s="118" t="inlineStr">
        <is>
          <t>만다라케 그랜드 카오스</t>
        </is>
      </c>
      <c r="C16" s="99" t="inlineStr">
        <is>
          <t>덕질(중고쇼핑)</t>
        </is>
      </c>
      <c r="D16" s="99" t="inlineStr">
        <is>
          <t>0</t>
        </is>
      </c>
      <c r="E16" s="99" t="inlineStr">
        <is>
          <t>1~2h</t>
        </is>
      </c>
      <c r="F16" s="94" t="inlineStr">
        <is>
          <t>에비스초역 도보6분</t>
        </is>
      </c>
      <c r="G16" s="96" t="inlineStr">
        <is>
          <t>12:00~20:00. 다층 중고 메가스토어. 만화·레트로게임·오시굿즈·빈티지피규어</t>
        </is>
      </c>
    </row>
    <row r="17" ht="32" customHeight="1" s="27">
      <c r="A17" s="97" t="inlineStr">
        <is>
          <t>오사카(도톤보리)</t>
        </is>
      </c>
      <c r="B17" s="117" t="inlineStr">
        <is>
          <t>도톤보리 (글리코 사인)</t>
        </is>
      </c>
      <c r="C17" s="97" t="inlineStr">
        <is>
          <t>관광/야경</t>
        </is>
      </c>
      <c r="D17" s="97" t="inlineStr">
        <is>
          <t>0</t>
        </is>
      </c>
      <c r="E17" s="97" t="inlineStr">
        <is>
          <t>1~2h</t>
        </is>
      </c>
      <c r="F17" s="89" t="inlineStr">
        <is>
          <t>미도스지선 난바역 14번출구</t>
        </is>
      </c>
      <c r="G17" s="91" t="inlineStr">
        <is>
          <t>★1935년 글리코네온 상징. 에비스바시 베스트포토. 야경 20:00~22:00(운하 반영). 24h 산책</t>
        </is>
      </c>
    </row>
    <row r="18" ht="32" customHeight="1" s="27">
      <c r="A18" s="99" t="inlineStr">
        <is>
          <t>오사카(도톤보리)</t>
        </is>
      </c>
      <c r="B18" s="118" t="inlineStr">
        <is>
          <t>돈키호테 + 에비스타워 관람차</t>
        </is>
      </c>
      <c r="C18" s="99" t="inlineStr">
        <is>
          <t>쇼핑/야경</t>
        </is>
      </c>
      <c r="D18" s="99" t="inlineStr">
        <is>
          <t>매장0/관람차600</t>
        </is>
      </c>
      <c r="E18" s="99" t="inlineStr">
        <is>
          <t>쇼핑1h+15분</t>
        </is>
      </c>
      <c r="F18" s="94" t="inlineStr">
        <is>
          <t>난바역/닛폰바시역</t>
        </is>
      </c>
      <c r="G18" s="96" t="inlineStr">
        <is>
          <t>관람차 월~금11:00~22:00 토일~22:30. 높이77.4m 타원형. 면세·심야쇼핑. 도톤보리 야경 동선</t>
        </is>
      </c>
    </row>
    <row r="19" ht="32" customHeight="1" s="27">
      <c r="A19" s="97" t="inlineStr">
        <is>
          <t>오사카(도톤보리)</t>
        </is>
      </c>
      <c r="B19" s="117" t="inlineStr">
        <is>
          <t>GiGO 도톤보리 (게임센터)</t>
        </is>
      </c>
      <c r="C19" s="97" t="inlineStr">
        <is>
          <t>덕질(체험)</t>
        </is>
      </c>
      <c r="D19" s="97" t="inlineStr">
        <is>
          <t>0(크레인1회100~200)</t>
        </is>
      </c>
      <c r="E19" s="97" t="inlineStr">
        <is>
          <t>1~3h</t>
        </is>
      </c>
      <c r="F19" s="89" t="inlineStr">
        <is>
          <t>난바역/닛폰바시역</t>
        </is>
      </c>
      <c r="G19" s="91" t="inlineStr">
        <is>
          <t>10:00~익일1:00. 3층 300대+. 크레인·음악게임·프리쿠라. 심야까지→야경산책과 묶기 좋음</t>
        </is>
      </c>
    </row>
    <row r="20" ht="32" customHeight="1" s="27">
      <c r="A20" s="99" t="inlineStr">
        <is>
          <t>오사카(신세카이)</t>
        </is>
      </c>
      <c r="B20" s="118" t="inlineStr">
        <is>
          <t>통천각 (쓰텐카쿠)</t>
        </is>
      </c>
      <c r="C20" s="99" t="inlineStr">
        <is>
          <t>관광/야경</t>
        </is>
      </c>
      <c r="D20" s="99" t="inlineStr">
        <is>
          <t>1,500(슬라이더 별도1,100)</t>
        </is>
      </c>
      <c r="E20" s="99" t="inlineStr">
        <is>
          <t>1~1.5h</t>
        </is>
      </c>
      <c r="F20" s="94" t="inlineStr">
        <is>
          <t>사카이스지선 에비스초역</t>
        </is>
      </c>
      <c r="G20" s="96" t="inlineStr">
        <is>
          <t>9:00~21:45. 시간예약제→온라인 사전구매. 야간 라이트업. 신세카이 쿠시카츠 거리와 함께. ※요금 출처충돌·공식1,500적용</t>
        </is>
      </c>
    </row>
    <row r="21" ht="32" customHeight="1" s="27">
      <c r="A21" s="97" t="inlineStr">
        <is>
          <t>오사카(신사이바시/난바)</t>
        </is>
      </c>
      <c r="B21" s="117" t="inlineStr">
        <is>
          <t>다이소·세리아 100엔샵</t>
        </is>
      </c>
      <c r="C21" s="97" t="inlineStr">
        <is>
          <t>쇼핑</t>
        </is>
      </c>
      <c r="D21" s="97" t="inlineStr">
        <is>
          <t>0(1점110~)</t>
        </is>
      </c>
      <c r="E21" s="97" t="inlineStr">
        <is>
          <t>0.5~1.5h</t>
        </is>
      </c>
      <c r="F21" s="89" t="inlineStr">
        <is>
          <t>미도스지선 신사이바시역·난바역</t>
        </is>
      </c>
      <c r="G21" s="91" t="inlineStr">
        <is>
          <t>다이소 난바점 5층·신사이바시 대형. 일본 한정 캐릭터 콜라보 잡화 선물용 인기. 영업시간 개별확인</t>
        </is>
      </c>
    </row>
    <row r="22" ht="20" customHeight="1" s="27">
      <c r="A22" s="86" t="inlineStr">
        <is>
          <t>◆ 교토</t>
        </is>
      </c>
      <c r="B22" s="31" t="n"/>
      <c r="C22" s="31" t="n"/>
      <c r="D22" s="31" t="n"/>
      <c r="E22" s="31" t="n"/>
      <c r="F22" s="31" t="n"/>
      <c r="G22" s="33" t="n"/>
    </row>
    <row r="23" ht="32" customHeight="1" s="27">
      <c r="A23" s="97" t="inlineStr">
        <is>
          <t>교토(후시미)</t>
        </is>
      </c>
      <c r="B23" s="117" t="inlineStr">
        <is>
          <t>후시미 이나리 타이샤</t>
        </is>
      </c>
      <c r="C23" s="97" t="inlineStr">
        <is>
          <t>관광(하이킹)</t>
        </is>
      </c>
      <c r="D23" s="97" t="inlineStr">
        <is>
          <t>0</t>
        </is>
      </c>
      <c r="E23" s="97" t="inlineStr">
        <is>
          <t>요츠츠지1.5~2h/정상2.5~3h</t>
        </is>
      </c>
      <c r="F23" s="89" t="inlineStr">
        <is>
          <t>JR 이나리역 도보2분/케이한 후시미이나리역</t>
        </is>
      </c>
      <c r="G23" s="91" t="inlineStr">
        <is>
          <t>★천개의 도리이. 24h 개방. 이른아침(8시전) 또는 야간이 인파회피 핵심. 당일치기 첫코스. 편한신발+물</t>
        </is>
      </c>
    </row>
    <row r="24" ht="32" customHeight="1" s="27">
      <c r="A24" s="99" t="inlineStr">
        <is>
          <t>교토(아라시야마)</t>
        </is>
      </c>
      <c r="B24" s="118" t="inlineStr">
        <is>
          <t>아라시야마 대나무숲 + 도게츠교</t>
        </is>
      </c>
      <c r="C24" s="99" t="inlineStr">
        <is>
          <t>관광</t>
        </is>
      </c>
      <c r="D24" s="99" t="inlineStr">
        <is>
          <t>0(텐류지정원 별도~500)</t>
        </is>
      </c>
      <c r="E24" s="99" t="inlineStr">
        <is>
          <t>1~2h</t>
        </is>
      </c>
      <c r="F24" s="94" t="inlineStr">
        <is>
          <t>JR 사가아라시야마역/란덴 아라시야마역</t>
        </is>
      </c>
      <c r="G24" s="96" t="inlineStr">
        <is>
          <t>★24h 무료. 오전8시전 인파·사진 최적. 후시미와 정반대 방향→둘중 하나만 아침에</t>
        </is>
      </c>
    </row>
    <row r="25" ht="32" customHeight="1" s="27">
      <c r="A25" s="97" t="inlineStr">
        <is>
          <t>교토(히가시야마)</t>
        </is>
      </c>
      <c r="B25" s="117" t="inlineStr">
        <is>
          <t>기요미즈데라 (清水寺)</t>
        </is>
      </c>
      <c r="C25" s="97" t="inlineStr">
        <is>
          <t>관광/야경(시즌)</t>
        </is>
      </c>
      <c r="D25" s="97" t="inlineStr">
        <is>
          <t>500</t>
        </is>
      </c>
      <c r="E25" s="97" t="inlineStr">
        <is>
          <t>60~90분</t>
        </is>
      </c>
      <c r="F25" s="89" t="inlineStr">
        <is>
          <t>케이한 기요미즈고조역 도보20~25분/버스#206</t>
        </is>
      </c>
      <c r="G25" s="91" t="inlineStr">
        <is>
          <t>6:00~18:00(여름연장). 야간라이트업(봄·여름·가을 시즌). 산넨자카·니넨자카 거쳐 기온까지 도보. ※500엔 교차확인</t>
        </is>
      </c>
    </row>
    <row r="26" ht="32" customHeight="1" s="27">
      <c r="A26" s="99" t="inlineStr">
        <is>
          <t>교토(기온)</t>
        </is>
      </c>
      <c r="B26" s="100" t="inlineStr">
        <is>
          <t>기온·하나미코지</t>
        </is>
      </c>
      <c r="C26" s="99" t="inlineStr">
        <is>
          <t>야경/거리산책</t>
        </is>
      </c>
      <c r="D26" s="99" t="inlineStr">
        <is>
          <t>0</t>
        </is>
      </c>
      <c r="E26" s="99" t="inlineStr">
        <is>
          <t>30분~1.5h</t>
        </is>
      </c>
      <c r="F26" s="94" t="inlineStr">
        <is>
          <t>케이한 기온시조역 도보3~5분</t>
        </is>
      </c>
      <c r="G26" s="96" t="inlineStr">
        <is>
          <t>해질녘 산책 분위기 최상. ⚠️사유지·골목 사진촬영 전면금지(벌금1만엔)·게이코 무단촬영 금지. 공공도로만 촬영</t>
        </is>
      </c>
    </row>
    <row r="27" ht="32" customHeight="1" s="27">
      <c r="A27" s="97" t="inlineStr">
        <is>
          <t>교토(교토역)</t>
        </is>
      </c>
      <c r="B27" s="117" t="inlineStr">
        <is>
          <t>애니메이트 아반티 교토</t>
        </is>
      </c>
      <c r="C27" s="97" t="inlineStr">
        <is>
          <t>덕질(쇼핑)</t>
        </is>
      </c>
      <c r="D27" s="97" t="inlineStr">
        <is>
          <t>0</t>
        </is>
      </c>
      <c r="E27" s="97" t="inlineStr">
        <is>
          <t>30분~1h</t>
        </is>
      </c>
      <c r="F27" s="89" t="inlineStr">
        <is>
          <t>교토역 하치조구치 도보1~2분(AVANTI6F)</t>
        </is>
      </c>
      <c r="G27" s="91" t="inlineStr">
        <is>
          <t>10:00~21:00. 2024확장. 애니굿즈·트레카·아니쿠지. 인근 요도바시·포켓몬센터교토도 옵션</t>
        </is>
      </c>
    </row>
    <row r="28" ht="20" customHeight="1" s="27">
      <c r="A28" s="86" t="inlineStr">
        <is>
          <t>◆ 나라</t>
        </is>
      </c>
      <c r="B28" s="31" t="n"/>
      <c r="C28" s="31" t="n"/>
      <c r="D28" s="31" t="n"/>
      <c r="E28" s="31" t="n"/>
      <c r="F28" s="31" t="n"/>
      <c r="G28" s="33" t="n"/>
    </row>
    <row r="29" ht="32" customHeight="1" s="27">
      <c r="A29" s="97" t="inlineStr">
        <is>
          <t>나라(나라공원)</t>
        </is>
      </c>
      <c r="B29" s="117" t="inlineStr">
        <is>
          <t>나라공원</t>
        </is>
      </c>
      <c r="C29" s="97" t="inlineStr">
        <is>
          <t>관광/체험(사슴)</t>
        </is>
      </c>
      <c r="D29" s="97" t="inlineStr">
        <is>
          <t>0(센베이200)</t>
        </is>
      </c>
      <c r="E29" s="97" t="inlineStr">
        <is>
          <t>1~2h</t>
        </is>
      </c>
      <c r="F29" s="89" t="inlineStr">
        <is>
          <t>킨테츠 나라역 도보8분(JR나라역 도보20분)</t>
        </is>
      </c>
      <c r="G29" s="91" t="inlineStr">
        <is>
          <t>★24h 무료. 사슴 에티켓:센베이외 금지·들이받힘 주의. 빈손 된뒤 사진·셀카봉. 오전 일찍 한산</t>
        </is>
      </c>
    </row>
    <row r="30" ht="32" customHeight="1" s="27">
      <c r="A30" s="99" t="inlineStr">
        <is>
          <t>나라(나라공원)</t>
        </is>
      </c>
      <c r="B30" s="118" t="inlineStr">
        <is>
          <t>도다이지 대불전 (東大寺)</t>
        </is>
      </c>
      <c r="C30" s="99" t="inlineStr">
        <is>
          <t>관광(세계유산)</t>
        </is>
      </c>
      <c r="D30" s="99" t="inlineStr">
        <is>
          <t>800(공통권1,200)</t>
        </is>
      </c>
      <c r="E30" s="99" t="inlineStr">
        <is>
          <t>1~1.5h</t>
        </is>
      </c>
      <c r="F30" s="94" t="inlineStr">
        <is>
          <t>킨테츠 나라역 도보15~20분</t>
        </is>
      </c>
      <c r="G30" s="96" t="inlineStr">
        <is>
          <t>4~10월7:30~17:30/11~3월8:00~17:00. 거대 청동대불. 기둥구멍 통과 포토. ※공식800엔</t>
        </is>
      </c>
    </row>
    <row r="31" ht="20" customHeight="1" s="27">
      <c r="A31" s="86" t="inlineStr">
        <is>
          <t>◆ 고베</t>
        </is>
      </c>
      <c r="B31" s="31" t="n"/>
      <c r="C31" s="31" t="n"/>
      <c r="D31" s="31" t="n"/>
      <c r="E31" s="31" t="n"/>
      <c r="F31" s="31" t="n"/>
      <c r="G31" s="33" t="n"/>
    </row>
    <row r="32" ht="32" customHeight="1" s="27">
      <c r="A32" s="97" t="inlineStr">
        <is>
          <t>고베(기타노)</t>
        </is>
      </c>
      <c r="B32" s="117" t="inlineStr">
        <is>
          <t>기타노 이진칸 거리</t>
        </is>
      </c>
      <c r="C32" s="97" t="inlineStr">
        <is>
          <t>관광(건축산책)</t>
        </is>
      </c>
      <c r="D32" s="97" t="inlineStr">
        <is>
          <t>거리0/2관패스650/7관3,000~</t>
        </is>
      </c>
      <c r="E32" s="97" t="inlineStr">
        <is>
          <t>1.5~3h</t>
        </is>
      </c>
      <c r="F32" s="89" t="inlineStr">
        <is>
          <t>신코베역 도보10분/산노미야역 도보15분</t>
        </is>
      </c>
      <c r="G32" s="91" t="inlineStr">
        <is>
          <t>서양식 저택가. 언덕길(편한신발). 솔로는 무료산책+대표1~2곳(2관650 가성비). 운영사 2곳</t>
        </is>
      </c>
    </row>
    <row r="33" ht="32" customHeight="1" s="27">
      <c r="A33" s="99" t="inlineStr">
        <is>
          <t>고베(하버랜드)</t>
        </is>
      </c>
      <c r="B33" s="118" t="inlineStr">
        <is>
          <t>고베 하버랜드 우미에 모자이크</t>
        </is>
      </c>
      <c r="C33" s="99" t="inlineStr">
        <is>
          <t>쇼핑/야경</t>
        </is>
      </c>
      <c r="D33" s="99" t="inlineStr">
        <is>
          <t>0</t>
        </is>
      </c>
      <c r="E33" s="99" t="inlineStr">
        <is>
          <t>1.5~3h</t>
        </is>
      </c>
      <c r="F33" s="94" t="inlineStr">
        <is>
          <t>JR 고베역 도보5분/하버랜드역</t>
        </is>
      </c>
      <c r="G33" s="96" t="inlineStr">
        <is>
          <t>★상점10:00~20:00 식당~22:00. 항구너머 포트타워 야경 일품→해질녘~밤. 솔로 항구뷰 식사 좋음</t>
        </is>
      </c>
    </row>
    <row r="34" ht="32" customHeight="1" s="27">
      <c r="A34" s="97" t="inlineStr">
        <is>
          <t>고베(하버랜드)</t>
        </is>
      </c>
      <c r="B34" s="117" t="inlineStr">
        <is>
          <t>모자이크 대관람차</t>
        </is>
      </c>
      <c r="C34" s="97" t="inlineStr">
        <is>
          <t>야경/체험</t>
        </is>
      </c>
      <c r="D34" s="97" t="inlineStr">
        <is>
          <t>800</t>
        </is>
      </c>
      <c r="E34" s="97" t="inlineStr">
        <is>
          <t>10~15분</t>
        </is>
      </c>
      <c r="F34" s="89" t="inlineStr">
        <is>
          <t>JR 고베역·하버랜드역</t>
        </is>
      </c>
      <c r="G34" s="91" t="inlineStr">
        <is>
          <t>10:00~22:00. 일몰후 12만 LED. 애니캐릭터 래핑곤돌라도 운행. 하버랜드와 한 동선</t>
        </is>
      </c>
    </row>
    <row r="35" ht="32" customHeight="1" s="27">
      <c r="A35" s="99" t="inlineStr">
        <is>
          <t>고베(하버랜드)</t>
        </is>
      </c>
      <c r="B35" s="118" t="inlineStr">
        <is>
          <t>고베 포트타워</t>
        </is>
      </c>
      <c r="C35" s="99" t="inlineStr">
        <is>
          <t>야경/전망대</t>
        </is>
      </c>
      <c r="D35" s="99" t="inlineStr">
        <is>
          <t>1,000(루프탑포함1,200)</t>
        </is>
      </c>
      <c r="E35" s="99" t="inlineStr">
        <is>
          <t>약1h</t>
        </is>
      </c>
      <c r="F35" s="94" t="inlineStr">
        <is>
          <t>메트로 카이간선 미나토모토마치역 도보5분</t>
        </is>
      </c>
      <c r="G35" s="96" t="inlineStr">
        <is>
          <t>9:00~23:00. 2024.4 리뉴얼·360도 글라스 루프탑. ★시간지정 예약 필요(야경시간대 사전예약 권장)</t>
        </is>
      </c>
    </row>
    <row r="36" ht="32" customHeight="1" s="27">
      <c r="A36" s="97" t="inlineStr">
        <is>
          <t>고베(산노미야)</t>
        </is>
      </c>
      <c r="B36" s="117" t="inlineStr">
        <is>
          <t>산노미야 오타쿠·게임센터(애니메이트·센터플라자·GiGO)</t>
        </is>
      </c>
      <c r="C36" s="97" t="inlineStr">
        <is>
          <t>덕질(쇼핑/게임센터)</t>
        </is>
      </c>
      <c r="D36" s="97" t="inlineStr">
        <is>
          <t>0</t>
        </is>
      </c>
      <c r="E36" s="97" t="inlineStr">
        <is>
          <t>1~2h</t>
        </is>
      </c>
      <c r="F36" s="89" t="inlineStr">
        <is>
          <t>산노미야역 도보1~5분</t>
        </is>
      </c>
      <c r="G36" s="91" t="inlineStr">
        <is>
          <t>애니메이트 고베·센터플라자 오타쿠타운·GiGO(크레인91·가챠150). 환승거점→고베 마무리 최적. 100엔샵 다수</t>
        </is>
      </c>
    </row>
  </sheetData>
  <mergeCells count="6">
    <mergeCell ref="A1:G1"/>
    <mergeCell ref="A31:G31"/>
    <mergeCell ref="A22:G22"/>
    <mergeCell ref="A4:G4"/>
    <mergeCell ref="A2:G2"/>
    <mergeCell ref="A28:G28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7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2" r:id="rId24"/>
    <hyperlink xmlns:r="http://schemas.openxmlformats.org/officeDocument/2006/relationships" ref="B33" r:id="rId25"/>
    <hyperlink xmlns:r="http://schemas.openxmlformats.org/officeDocument/2006/relationships" ref="B34" r:id="rId26"/>
    <hyperlink xmlns:r="http://schemas.openxmlformats.org/officeDocument/2006/relationships" ref="B35" r:id="rId27"/>
    <hyperlink xmlns:r="http://schemas.openxmlformats.org/officeDocument/2006/relationships" ref="B36" r:id="rId2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27" min="1" max="1"/>
    <col width="22" customWidth="1" style="27" min="2" max="2"/>
    <col width="26" customWidth="1" style="27" min="3" max="3"/>
    <col width="12" customWidth="1" style="27" min="4" max="4"/>
    <col width="9" customWidth="1" style="27" min="5" max="5"/>
    <col width="15" customWidth="1" style="27" min="6" max="6"/>
    <col width="46" customWidth="1" style="27" min="7" max="7"/>
  </cols>
  <sheetData>
    <row r="1" ht="30" customHeight="1" s="27">
      <c r="A1" s="68" t="inlineStr">
        <is>
          <t>🎏  체험 후보 (예약형 옵션)</t>
        </is>
      </c>
    </row>
    <row r="2" ht="28" customHeight="1" s="27">
      <c r="A2" s="84" t="inlineStr">
        <is>
          <t>사전 예약형 체험 모음 — 넣을 것을 골라 '요일별 일정'에 반영합니다  ·  솔로: ✓가능 / ⚠조건부 / ✕불가  ·  ActivityJapan은 봇 차단으로 정확 요금 미확인("확인 필요") → 예약 시 사이트에서 날짜 선택 후 확정 · 이름을 클릭하면 예약/공식 페이지로 이동</t>
        </is>
      </c>
    </row>
    <row r="3" ht="20" customHeight="1" s="27">
      <c r="A3" s="85" t="inlineStr">
        <is>
          <t>체험명</t>
        </is>
      </c>
      <c r="B3" s="85" t="inlineStr">
        <is>
          <t>지역 / 위치</t>
        </is>
      </c>
      <c r="C3" s="85" t="inlineStr">
        <is>
          <t>예상 가격</t>
        </is>
      </c>
      <c r="D3" s="85" t="inlineStr">
        <is>
          <t>소요시간</t>
        </is>
      </c>
      <c r="E3" s="85" t="inlineStr">
        <is>
          <t>솔로</t>
        </is>
      </c>
      <c r="F3" s="85" t="inlineStr">
        <is>
          <t>추천 Day</t>
        </is>
      </c>
      <c r="G3" s="85" t="inlineStr">
        <is>
          <t>메모 / 예약 주의</t>
        </is>
      </c>
    </row>
    <row r="4" ht="52" customHeight="1" s="27">
      <c r="A4" s="117" t="inlineStr">
        <is>
          <t>요도강 웨이크보딩 (초보 체험 코스)</t>
        </is>
      </c>
      <c r="B4" s="89" t="inlineStr">
        <is>
          <t>신오사카·주소·요도가와</t>
        </is>
      </c>
      <c r="C4" s="89" t="inlineStr">
        <is>
          <t>초보코스 약 5,000~7,500엔 (확인 필요)</t>
        </is>
      </c>
      <c r="D4" s="97" t="inlineStr">
        <is>
          <t>약 1~2h (수상 약 20분)</t>
        </is>
      </c>
      <c r="E4" s="110" t="inlineStr">
        <is>
          <t>✓</t>
        </is>
      </c>
      <c r="F4" s="97" t="inlineStr">
        <is>
          <t>Day2 또는 Day6 오전</t>
        </is>
      </c>
      <c r="G4" s="91" t="inlineStr">
        <is>
          <t>⚠ 제목의 '단체/(1세트)' 플랜은 최소 4인~(BBQ형)이라 솔로 불가 → 솔로는 '초보자 체험 코스'(ActivityJapan plan851)로 예약. 갈아입을 옷·수영 가능 권장. 여름철 운영. 요금 날짜별 변동</t>
        </is>
      </c>
    </row>
    <row r="5" ht="52" customHeight="1" s="27">
      <c r="A5" s="118" t="inlineStr">
        <is>
          <t>히라카타 정통 다도 수업</t>
        </is>
      </c>
      <c r="B5" s="94" t="inlineStr">
        <is>
          <t>오사카부 히라카타시 (게이한선·오사카↔교토 중간)</t>
        </is>
      </c>
      <c r="C5" s="94" t="inlineStr">
        <is>
          <t>약 2,000~4,000엔대 추정 (확인 필요)</t>
        </is>
      </c>
      <c r="D5" s="99" t="inlineStr">
        <is>
          <t>약 1~1.5h</t>
        </is>
      </c>
      <c r="E5" s="111" t="inlineStr">
        <is>
          <t>✓</t>
        </is>
      </c>
      <c r="F5" s="99" t="inlineStr">
        <is>
          <t>Day3 또는 Day4 (교토行 동선)</t>
        </is>
      </c>
      <c r="G5" s="96" t="inlineStr">
        <is>
          <t>유명 사찰서 가르친 명인 진행 정통 다도. 솔로 친화적 문화체험. ActivityJapan 사전예약 필수. 게이한 히라카타시역. 교토 가는 길에 들르기 좋음</t>
        </is>
      </c>
    </row>
    <row r="6" ht="52" customHeight="1" s="27">
      <c r="A6" s="117" t="inlineStr">
        <is>
          <t>이세 신궁 (외궁+내궁+오하라이마치)</t>
        </is>
      </c>
      <c r="B6" s="89" t="inlineStr">
        <is>
          <t>미에현 이세시 (긴테쓰 특급)</t>
        </is>
      </c>
      <c r="C6" s="89" t="inlineStr">
        <is>
          <t>특급 왕복 약 7,020엔 + 시내버스(외궁↔내궁 약 520엔) · 입장 무료</t>
        </is>
      </c>
      <c r="D6" s="97" t="inlineStr">
        <is>
          <t>종일 (왕복 ~3.5~4h + 현지 4~5h)</t>
        </is>
      </c>
      <c r="E6" s="110" t="inlineStr">
        <is>
          <t>✓</t>
        </is>
      </c>
      <c r="F6" s="97" t="inlineStr">
        <is>
          <t>△ Day2 '대체'</t>
        </is>
      </c>
      <c r="G6" s="91" t="inlineStr">
        <is>
          <t>오사카서 특급 약 1h50 직통. 당일치기 가능하나 빡빡 → 6/22(오사카)를 통째 대체·후타미 생략 권장. 외궁→내궁 순. 긴테쓰 특급권은 패스로도 별도 구매(왕복 특급권이 5일권보다 단순·저렴). 입장무료(주차~500)</t>
        </is>
      </c>
    </row>
    <row r="7" ht="52" customHeight="1" s="27">
      <c r="A7" s="118" t="inlineStr">
        <is>
          <t>후타미우라 메오토이와(부부바위)</t>
        </is>
      </c>
      <c r="B7" s="94" t="inlineStr">
        <is>
          <t>미에현 이세시 후타미 (JR 산구선)</t>
        </is>
      </c>
      <c r="C7" s="94" t="inlineStr">
        <is>
          <t>입장 무료 (주차 유료)</t>
        </is>
      </c>
      <c r="D7" s="99" t="inlineStr">
        <is>
          <t>반나절+ (이세서 환승·대기 큼)</t>
        </is>
      </c>
      <c r="E7" s="111" t="inlineStr">
        <is>
          <t>✓</t>
        </is>
      </c>
      <c r="F7" s="99" t="inlineStr">
        <is>
          <t>✕ 이번엔 비권장</t>
        </is>
      </c>
      <c r="G7" s="96" t="inlineStr">
        <is>
          <t>⚠ '모모이와(桃岩)'는 이세에 없음 — 실제론 홋카이도 레분섬. 메오토이와의 오기로 보임. 진가는 일출(6월 하지에 두 바위 사이로 해 뜸, 4:40경)이라 새벽 방문=후타미/이세 1박 필요. 6박7일 숙소예약과 충돌해 이번 일정엔 넣기 어려움</t>
        </is>
      </c>
    </row>
    <row r="8" ht="52" customHeight="1" s="27">
      <c r="A8" s="117" t="inlineStr">
        <is>
          <t>난바 바 호핑 나이트 투어 (Magical Trip)</t>
        </is>
      </c>
      <c r="B8" s="89" t="inlineStr">
        <is>
          <t>난바·도톤보리·우라난바</t>
        </is>
      </c>
      <c r="C8" s="89" t="inlineStr">
        <is>
          <t>약 12,000~14,000엔 (£73 기준·확인 필요)</t>
        </is>
      </c>
      <c r="D8" s="97" t="inlineStr">
        <is>
          <t>약 3h (저녁 18시경 시작)</t>
        </is>
      </c>
      <c r="E8" s="110" t="inlineStr">
        <is>
          <t>✓</t>
        </is>
      </c>
      <c r="F8" s="97" t="inlineStr">
        <is>
          <t>Day2 또는 Day6 저녁</t>
        </is>
      </c>
      <c r="G8" s="91" t="inlineStr">
        <is>
          <t>소규모 그룹(최대 7인)·영어 가이드. 이자카야 3곳·6가지 맛(사케+쿠시카츠 등 길거리음식)·호젠지·글리코사인 경유. 솔로 친화·24h전 무료취소. 저녁 야경 산책 슬롯과 대체 가능</t>
        </is>
      </c>
    </row>
  </sheetData>
  <mergeCells count="2">
    <mergeCell ref="A2:G2"/>
    <mergeCell ref="A1:G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2026-06-20T06:13:40Z</dcterms:created>
  <dcterms:modified xsi:type="dcterms:W3CDTF">2026-06-20T12:25:49Z</dcterms:modified>
  <cp:revision>0</cp:revision>
</cp:coreProperties>
</file>